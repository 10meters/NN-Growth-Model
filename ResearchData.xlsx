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New Economics\"/>
    </mc:Choice>
  </mc:AlternateContent>
  <xr:revisionPtr revIDLastSave="0" documentId="13_ncr:1_{A1EAC278-22D9-4C86-92C7-7388B2CD4312}" xr6:coauthVersionLast="47" xr6:coauthVersionMax="47" xr10:uidLastSave="{00000000-0000-0000-0000-000000000000}"/>
  <bookViews>
    <workbookView xWindow="9495" yWindow="0" windowWidth="9810" windowHeight="10185" firstSheet="2" activeTab="3" xr2:uid="{00000000-000D-0000-FFFF-FFFF00000000}"/>
  </bookViews>
  <sheets>
    <sheet name="Raw" sheetId="1" r:id="rId1"/>
    <sheet name="Processed" sheetId="3" r:id="rId2"/>
    <sheet name="USA" sheetId="4" r:id="rId3"/>
    <sheet name="Sourc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2" i="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2" i="4"/>
  <c r="I747" i="3"/>
  <c r="I704" i="3"/>
  <c r="I672" i="3"/>
  <c r="I629" i="3"/>
  <c r="I586" i="3"/>
  <c r="I543" i="3"/>
  <c r="I500" i="3"/>
  <c r="I457" i="3"/>
  <c r="I414" i="3"/>
  <c r="I370" i="3"/>
  <c r="I371" i="3"/>
  <c r="I328" i="3"/>
  <c r="I285" i="3"/>
  <c r="I245" i="3"/>
  <c r="I202" i="3"/>
  <c r="I159" i="3"/>
  <c r="I116" i="3"/>
  <c r="I73" i="3"/>
  <c r="I32" i="3"/>
  <c r="I31" i="3"/>
  <c r="I30" i="3"/>
  <c r="E2" i="4"/>
  <c r="H2" i="4"/>
  <c r="G2" i="4" s="1"/>
  <c r="I2" i="4"/>
  <c r="I748" i="3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05" i="3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673" i="3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630" i="3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587" i="3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544" i="3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01" i="3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458" i="3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415" i="3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372" i="3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329" i="3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286" i="3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246" i="3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03" i="3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160" i="3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117" i="3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74" i="3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58" i="3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33" i="3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2" i="3"/>
  <c r="H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2" i="3"/>
  <c r="G3" i="4" l="1"/>
  <c r="I3" i="4"/>
  <c r="H4" i="4" s="1"/>
  <c r="I4" i="4" l="1"/>
  <c r="H5" i="4" s="1"/>
  <c r="G4" i="4"/>
  <c r="I5" i="4" l="1"/>
  <c r="H6" i="4" s="1"/>
  <c r="G5" i="4"/>
  <c r="I6" i="4" l="1"/>
  <c r="H7" i="4" s="1"/>
  <c r="G6" i="4"/>
  <c r="G7" i="4" l="1"/>
  <c r="I7" i="4"/>
  <c r="H8" i="4" s="1"/>
  <c r="G8" i="4" l="1"/>
  <c r="I8" i="4"/>
  <c r="H9" i="4" s="1"/>
  <c r="I9" i="4" l="1"/>
  <c r="H10" i="4" s="1"/>
  <c r="G9" i="4"/>
  <c r="G10" i="4" l="1"/>
  <c r="I10" i="4"/>
  <c r="H11" i="4" s="1"/>
  <c r="I11" i="4" l="1"/>
  <c r="H12" i="4" s="1"/>
  <c r="G11" i="4"/>
  <c r="G12" i="4" l="1"/>
  <c r="I12" i="4"/>
  <c r="H13" i="4" s="1"/>
  <c r="I13" i="4" l="1"/>
  <c r="H14" i="4" s="1"/>
  <c r="G13" i="4"/>
  <c r="I14" i="4" l="1"/>
  <c r="H15" i="4" s="1"/>
  <c r="G14" i="4"/>
  <c r="I15" i="4" l="1"/>
  <c r="H16" i="4" s="1"/>
  <c r="G15" i="4"/>
  <c r="I16" i="4" l="1"/>
  <c r="H17" i="4" s="1"/>
  <c r="G16" i="4"/>
  <c r="I17" i="4" l="1"/>
  <c r="H18" i="4" s="1"/>
  <c r="G17" i="4"/>
  <c r="G18" i="4" l="1"/>
  <c r="I18" i="4"/>
  <c r="H19" i="4" s="1"/>
  <c r="G19" i="4" l="1"/>
  <c r="I19" i="4"/>
  <c r="H20" i="4" s="1"/>
  <c r="G20" i="4" l="1"/>
  <c r="I20" i="4"/>
  <c r="H21" i="4" s="1"/>
  <c r="I21" i="4" l="1"/>
  <c r="H22" i="4" s="1"/>
  <c r="G21" i="4"/>
  <c r="I22" i="4" l="1"/>
  <c r="H23" i="4" s="1"/>
  <c r="G22" i="4"/>
  <c r="G23" i="4" l="1"/>
  <c r="I23" i="4"/>
  <c r="H24" i="4" s="1"/>
  <c r="G24" i="4" l="1"/>
  <c r="I24" i="4"/>
  <c r="H25" i="4" s="1"/>
  <c r="G25" i="4" l="1"/>
  <c r="I25" i="4"/>
  <c r="H26" i="4" s="1"/>
  <c r="I26" i="4" l="1"/>
  <c r="H27" i="4" s="1"/>
  <c r="G26" i="4"/>
  <c r="G27" i="4" l="1"/>
  <c r="I27" i="4"/>
  <c r="H28" i="4" s="1"/>
  <c r="I28" i="4" l="1"/>
  <c r="H29" i="4" s="1"/>
  <c r="G28" i="4"/>
  <c r="I29" i="4" l="1"/>
  <c r="H30" i="4" s="1"/>
  <c r="G29" i="4"/>
  <c r="I30" i="4" l="1"/>
  <c r="H31" i="4" s="1"/>
  <c r="G30" i="4"/>
  <c r="G31" i="4" l="1"/>
  <c r="I31" i="4"/>
  <c r="H32" i="4" s="1"/>
  <c r="G32" i="4" l="1"/>
  <c r="I32" i="4"/>
  <c r="H33" i="4" s="1"/>
  <c r="G33" i="4" l="1"/>
  <c r="I33" i="4"/>
  <c r="H34" i="4" s="1"/>
  <c r="I34" i="4" l="1"/>
  <c r="H35" i="4" s="1"/>
  <c r="G34" i="4"/>
  <c r="G35" i="4" l="1"/>
  <c r="I35" i="4"/>
  <c r="H36" i="4" s="1"/>
  <c r="I36" i="4" l="1"/>
  <c r="H37" i="4" s="1"/>
  <c r="G36" i="4"/>
  <c r="I37" i="4" l="1"/>
  <c r="H38" i="4" s="1"/>
  <c r="G37" i="4"/>
  <c r="I38" i="4" l="1"/>
  <c r="H39" i="4" s="1"/>
  <c r="G38" i="4"/>
  <c r="I39" i="4" l="1"/>
  <c r="H40" i="4" s="1"/>
  <c r="G39" i="4"/>
  <c r="I40" i="4" l="1"/>
  <c r="H41" i="4" s="1"/>
  <c r="G40" i="4"/>
  <c r="G41" i="4" l="1"/>
  <c r="I41" i="4"/>
  <c r="H42" i="4" s="1"/>
  <c r="I42" i="4" l="1"/>
  <c r="H43" i="4" s="1"/>
  <c r="G42" i="4"/>
  <c r="G43" i="4" l="1"/>
  <c r="I43" i="4"/>
  <c r="H44" i="4" s="1"/>
  <c r="I44" i="4" l="1"/>
  <c r="G44" i="4"/>
</calcChain>
</file>

<file path=xl/sharedStrings.xml><?xml version="1.0" encoding="utf-8"?>
<sst xmlns="http://schemas.openxmlformats.org/spreadsheetml/2006/main" count="1717" uniqueCount="43">
  <si>
    <t>Country</t>
  </si>
  <si>
    <t>GDP (constant 2015 US$)</t>
  </si>
  <si>
    <t>Year</t>
  </si>
  <si>
    <t>Austria</t>
  </si>
  <si>
    <t>Belgium</t>
  </si>
  <si>
    <t>Canada</t>
  </si>
  <si>
    <t>Denmark</t>
  </si>
  <si>
    <t>France</t>
  </si>
  <si>
    <t>Germany</t>
  </si>
  <si>
    <t>Greece</t>
  </si>
  <si>
    <t>Iceland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</si>
  <si>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</si>
  <si>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</si>
  <si>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</si>
  <si>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</si>
  <si>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</si>
  <si>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</si>
  <si>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</si>
  <si>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</si>
  <si>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Switzerland</t>
  </si>
  <si>
    <t>UK</t>
  </si>
  <si>
    <t>USA</t>
  </si>
  <si>
    <t xml:space="preserve">https://data.worldbank.org/indicator/NY.GDP.MKTP.KD?view=chart </t>
  </si>
  <si>
    <t>Gross fixed capital formation (constant 2015 US$)</t>
  </si>
  <si>
    <t xml:space="preserve">https://data.worldbank.org/indicator/NE.GDI.FTOT.KD?view=chart </t>
  </si>
  <si>
    <t>Population</t>
  </si>
  <si>
    <t xml:space="preserve">https://data.worldbank.org/indicator/SP.POP.TOTL?view=chart </t>
  </si>
  <si>
    <t>Hours per Person per Year</t>
  </si>
  <si>
    <t/>
  </si>
  <si>
    <t xml:space="preserve">https://data-explorer.oecd.org/vis?lc=en&amp;pg=0&amp;snb=1&amp;vw=tb&amp;df[ds]=dsDisseminateFinalDMZ&amp;df[id]=DSD_HW%40DF_AVG_ANN_HRS_WKD&amp;df[ag]=OECD.ELS.SAE&amp;df[vs]=&amp;pd=2010%2C&amp;dq=AUS%2BAUT%2BBEL%2BCAN%2BCHL%2BCOL%2BCRI%2BCZE%2BDNK%2BEST%2BFIN%2BFRA%2BDEU%2BGRC%2BHUN%2BISL%2BIRL%2BISR%2BITA%2BJPN%2BKOR%2BLVA%2BLTU%2BLUX%2BMEX%2BNLD%2BNZL%2BNOR%2BPOL%2BPRT%2BSVK%2BSVN%2BESP%2BSWE%2BCHE%2BTUR%2BGBR%2BUSA%2BOECD........_T....&amp;to[TIME_PERIOD]=false </t>
  </si>
  <si>
    <t>Hours per Year</t>
  </si>
  <si>
    <t>Savings Rate</t>
  </si>
  <si>
    <t>Labor Productivity</t>
  </si>
  <si>
    <t>Capital Stock</t>
  </si>
  <si>
    <t>Depreciation</t>
  </si>
  <si>
    <t>GDP per Hour</t>
  </si>
  <si>
    <t>Simulated</t>
  </si>
  <si>
    <t>Capital</t>
  </si>
  <si>
    <t>Simulated (Capital)</t>
  </si>
  <si>
    <t>Simulated (Investment)</t>
  </si>
  <si>
    <t>Simulated (New dep)</t>
  </si>
  <si>
    <t>Y/N</t>
  </si>
  <si>
    <t>Investment as $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</si>
</sst>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horizontal="right" wrapText="1" readingOrder="1"/>
    </xf>
    <xf numFmtId="3" fontId="3" fillId="0" borderId="0" xfId="0" applyNumberFormat="1" applyFont="1" applyAlignment="1">
      <alignment horizontal="right" wrapText="1" readingOrder="1"/>
    </xf>
    <xf numFmtId="10" fontId="0" fillId="0" borderId="0" xfId="2" applyNumberFormat="1" applyFont="1"/>
    <xf numFmtId="9" fontId="0" fillId="0" borderId="0" xfId="0" applyNumberFormat="1"/>
    <xf numFmtId="9" fontId="0" fillId="0" borderId="0" xfId="2" applyFont="1"/>
    <xf numFmtId="9" fontId="1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indicator/SP.POP.TOTL?view=chart" TargetMode="External"/><Relationship Id="rId2" Type="http://schemas.openxmlformats.org/officeDocument/2006/relationships/hyperlink" Target="https://data.worldbank.org/indicator/NE.GDI.FTOT.KD?view=chart" TargetMode="External"/><Relationship Id="rId1" Type="http://schemas.openxmlformats.org/officeDocument/2006/relationships/hyperlink" Target="https://data.worldbank.org/indicator/NY.GDP.MKTP.KD?view=ch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8"/>
  <sheetViews>
    <sheetView topLeftCell="A730" workbookViewId="0">
      <selection activeCell="H8" sqref="H8"/>
    </sheetView>
  </sheetViews>
  <sheetFormatPr defaultRowHeight="15" x14ac:dyDescent="0.25"/>
  <cols>
    <col min="1" max="1" width="12" bestFit="1" customWidth="1"/>
    <col min="3" max="3" width="23" bestFit="1" customWidth="1"/>
    <col min="4" max="4" width="45.42578125" bestFit="1" customWidth="1"/>
  </cols>
  <sheetData>
    <row r="1" spans="1:6" s="1" customFormat="1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25</v>
      </c>
      <c r="F1" s="1" t="s">
        <v>27</v>
      </c>
    </row>
    <row r="2" spans="1:6" x14ac:dyDescent="0.25">
      <c r="A2" t="s">
        <v>3</v>
      </c>
      <c r="B2">
        <v>1980</v>
      </c>
      <c r="C2">
        <v>191600555070.28708</v>
      </c>
      <c r="D2">
        <v>50417208835.957008</v>
      </c>
      <c r="E2">
        <v>7549433</v>
      </c>
      <c r="F2" s="3" t="s">
        <v>28</v>
      </c>
    </row>
    <row r="3" spans="1:6" x14ac:dyDescent="0.25">
      <c r="A3" t="s">
        <v>3</v>
      </c>
      <c r="B3">
        <v>1981</v>
      </c>
      <c r="C3">
        <v>191324086648.20114</v>
      </c>
      <c r="D3">
        <v>50389031646.5867</v>
      </c>
      <c r="E3">
        <v>7568710</v>
      </c>
      <c r="F3" s="3" t="s">
        <v>28</v>
      </c>
    </row>
    <row r="4" spans="1:6" x14ac:dyDescent="0.25">
      <c r="A4" t="s">
        <v>3</v>
      </c>
      <c r="B4">
        <v>1982</v>
      </c>
      <c r="C4">
        <v>195172100364.97968</v>
      </c>
      <c r="D4">
        <v>46194234128.278885</v>
      </c>
      <c r="E4">
        <v>7574140</v>
      </c>
      <c r="F4" s="3" t="s">
        <v>28</v>
      </c>
    </row>
    <row r="5" spans="1:6" x14ac:dyDescent="0.25">
      <c r="A5" t="s">
        <v>3</v>
      </c>
      <c r="B5">
        <v>1983</v>
      </c>
      <c r="C5">
        <v>200974738503.1207</v>
      </c>
      <c r="D5">
        <v>45995636868.421463</v>
      </c>
      <c r="E5">
        <v>7561910</v>
      </c>
      <c r="F5" s="3" t="s">
        <v>28</v>
      </c>
    </row>
    <row r="6" spans="1:6" x14ac:dyDescent="0.25">
      <c r="A6" t="s">
        <v>3</v>
      </c>
      <c r="B6">
        <v>1984</v>
      </c>
      <c r="C6">
        <v>201077788950.88904</v>
      </c>
      <c r="D6">
        <v>45882883730.424583</v>
      </c>
      <c r="E6">
        <v>7561434</v>
      </c>
      <c r="F6" s="3" t="s">
        <v>28</v>
      </c>
    </row>
    <row r="7" spans="1:6" x14ac:dyDescent="0.25">
      <c r="A7" t="s">
        <v>3</v>
      </c>
      <c r="B7">
        <v>1985</v>
      </c>
      <c r="C7">
        <v>206102076058.43436</v>
      </c>
      <c r="D7">
        <v>48719188117.886688</v>
      </c>
      <c r="E7">
        <v>7564985</v>
      </c>
      <c r="F7" s="3" t="s">
        <v>28</v>
      </c>
    </row>
    <row r="8" spans="1:6" x14ac:dyDescent="0.25">
      <c r="A8" t="s">
        <v>3</v>
      </c>
      <c r="B8">
        <v>1986</v>
      </c>
      <c r="C8">
        <v>210845294703.44919</v>
      </c>
      <c r="D8">
        <v>49638044532.412468</v>
      </c>
      <c r="E8">
        <v>7569794</v>
      </c>
      <c r="F8" s="3" t="s">
        <v>28</v>
      </c>
    </row>
    <row r="9" spans="1:6" x14ac:dyDescent="0.25">
      <c r="A9" t="s">
        <v>3</v>
      </c>
      <c r="B9">
        <v>1987</v>
      </c>
      <c r="C9">
        <v>213706819428.4281</v>
      </c>
      <c r="D9">
        <v>51807445130.603485</v>
      </c>
      <c r="E9">
        <v>7574586</v>
      </c>
      <c r="F9" s="3" t="s">
        <v>28</v>
      </c>
    </row>
    <row r="10" spans="1:6" x14ac:dyDescent="0.25">
      <c r="A10" t="s">
        <v>3</v>
      </c>
      <c r="B10">
        <v>1988</v>
      </c>
      <c r="C10">
        <v>220750340111.98276</v>
      </c>
      <c r="D10">
        <v>55465583468.35778</v>
      </c>
      <c r="E10">
        <v>7585317</v>
      </c>
      <c r="F10" s="3" t="s">
        <v>28</v>
      </c>
    </row>
    <row r="11" spans="1:6" x14ac:dyDescent="0.25">
      <c r="A11" t="s">
        <v>3</v>
      </c>
      <c r="B11">
        <v>1989</v>
      </c>
      <c r="C11">
        <v>229331070934.26636</v>
      </c>
      <c r="D11">
        <v>57939871551.815201</v>
      </c>
      <c r="E11">
        <v>7619567</v>
      </c>
      <c r="F11" s="3" t="s">
        <v>28</v>
      </c>
    </row>
    <row r="12" spans="1:6" x14ac:dyDescent="0.25">
      <c r="A12" t="s">
        <v>3</v>
      </c>
      <c r="B12">
        <v>1990</v>
      </c>
      <c r="C12">
        <v>239296977562.90228</v>
      </c>
      <c r="D12">
        <v>61122124277.59996</v>
      </c>
      <c r="E12">
        <v>7677850</v>
      </c>
      <c r="F12" s="3" t="s">
        <v>28</v>
      </c>
    </row>
    <row r="13" spans="1:6" x14ac:dyDescent="0.25">
      <c r="A13" t="s">
        <v>3</v>
      </c>
      <c r="B13">
        <v>1991</v>
      </c>
      <c r="C13">
        <v>247532687599.6398</v>
      </c>
      <c r="D13">
        <v>66207282590.863625</v>
      </c>
      <c r="E13">
        <v>7754891</v>
      </c>
      <c r="F13" s="3" t="s">
        <v>28</v>
      </c>
    </row>
    <row r="14" spans="1:6" x14ac:dyDescent="0.25">
      <c r="A14" t="s">
        <v>3</v>
      </c>
      <c r="B14">
        <v>1992</v>
      </c>
      <c r="C14">
        <v>252714846186.87924</v>
      </c>
      <c r="D14">
        <v>66297949765.259727</v>
      </c>
      <c r="E14">
        <v>7840709</v>
      </c>
      <c r="F14" s="3" t="s">
        <v>28</v>
      </c>
    </row>
    <row r="15" spans="1:6" x14ac:dyDescent="0.25">
      <c r="A15" t="s">
        <v>3</v>
      </c>
      <c r="B15">
        <v>1993</v>
      </c>
      <c r="C15">
        <v>254046171785.08508</v>
      </c>
      <c r="D15">
        <v>65486509731.726921</v>
      </c>
      <c r="E15">
        <v>7905633</v>
      </c>
      <c r="F15" s="3" t="s">
        <v>28</v>
      </c>
    </row>
    <row r="16" spans="1:6" x14ac:dyDescent="0.25">
      <c r="A16" t="s">
        <v>3</v>
      </c>
      <c r="B16">
        <v>1994</v>
      </c>
      <c r="C16">
        <v>260148662438.99484</v>
      </c>
      <c r="D16">
        <v>68856322283.133163</v>
      </c>
      <c r="E16">
        <v>7936118</v>
      </c>
      <c r="F16" s="3" t="s">
        <v>28</v>
      </c>
    </row>
    <row r="17" spans="1:6" x14ac:dyDescent="0.25">
      <c r="A17" t="s">
        <v>3</v>
      </c>
      <c r="B17">
        <v>1995</v>
      </c>
      <c r="C17">
        <v>267089385643.72025</v>
      </c>
      <c r="D17">
        <v>68988476363.535507</v>
      </c>
      <c r="E17">
        <v>7948278</v>
      </c>
      <c r="F17" s="4">
        <v>1653</v>
      </c>
    </row>
    <row r="18" spans="1:6" x14ac:dyDescent="0.25">
      <c r="A18" t="s">
        <v>3</v>
      </c>
      <c r="B18">
        <v>1996</v>
      </c>
      <c r="C18">
        <v>273007465269.5921</v>
      </c>
      <c r="D18">
        <v>71295172524.864014</v>
      </c>
      <c r="E18">
        <v>7959017</v>
      </c>
      <c r="F18" s="4">
        <v>1683</v>
      </c>
    </row>
    <row r="19" spans="1:6" x14ac:dyDescent="0.25">
      <c r="A19" t="s">
        <v>3</v>
      </c>
      <c r="B19">
        <v>1997</v>
      </c>
      <c r="C19">
        <v>278865754355.30109</v>
      </c>
      <c r="D19">
        <v>71641106439.519089</v>
      </c>
      <c r="E19">
        <v>7968041</v>
      </c>
      <c r="F19" s="4">
        <v>1691</v>
      </c>
    </row>
    <row r="20" spans="1:6" x14ac:dyDescent="0.25">
      <c r="A20" t="s">
        <v>3</v>
      </c>
      <c r="B20">
        <v>1998</v>
      </c>
      <c r="C20">
        <v>288606201307.48468</v>
      </c>
      <c r="D20">
        <v>74041098211.281586</v>
      </c>
      <c r="E20">
        <v>7976789</v>
      </c>
      <c r="F20" s="4">
        <v>1671</v>
      </c>
    </row>
    <row r="21" spans="1:6" x14ac:dyDescent="0.25">
      <c r="A21" t="s">
        <v>3</v>
      </c>
      <c r="B21">
        <v>1999</v>
      </c>
      <c r="C21">
        <v>299463348574.79871</v>
      </c>
      <c r="D21">
        <v>75085403919.811676</v>
      </c>
      <c r="E21">
        <v>7992324</v>
      </c>
      <c r="F21" s="4">
        <v>1675</v>
      </c>
    </row>
    <row r="22" spans="1:6" x14ac:dyDescent="0.25">
      <c r="A22" t="s">
        <v>3</v>
      </c>
      <c r="B22">
        <v>2000</v>
      </c>
      <c r="C22">
        <v>309014799991.68036</v>
      </c>
      <c r="D22">
        <v>79212568860.845657</v>
      </c>
      <c r="E22">
        <v>8011566</v>
      </c>
      <c r="F22" s="4">
        <v>1675</v>
      </c>
    </row>
    <row r="23" spans="1:6" x14ac:dyDescent="0.25">
      <c r="A23" t="s">
        <v>3</v>
      </c>
      <c r="B23">
        <v>2001</v>
      </c>
      <c r="C23">
        <v>313084486617.41547</v>
      </c>
      <c r="D23">
        <v>78414771397.815964</v>
      </c>
      <c r="E23">
        <v>8042293</v>
      </c>
      <c r="F23" s="4">
        <v>1663</v>
      </c>
    </row>
    <row r="24" spans="1:6" x14ac:dyDescent="0.25">
      <c r="A24" t="s">
        <v>3</v>
      </c>
      <c r="B24">
        <v>2002</v>
      </c>
      <c r="C24">
        <v>317731815610.85803</v>
      </c>
      <c r="D24">
        <v>75925035566.38237</v>
      </c>
      <c r="E24">
        <v>8081957</v>
      </c>
      <c r="F24" s="4">
        <v>1661</v>
      </c>
    </row>
    <row r="25" spans="1:6" x14ac:dyDescent="0.25">
      <c r="A25" t="s">
        <v>3</v>
      </c>
      <c r="B25">
        <v>2003</v>
      </c>
      <c r="C25">
        <v>321358930858.67755</v>
      </c>
      <c r="D25">
        <v>78905329208.251129</v>
      </c>
      <c r="E25">
        <v>8121423</v>
      </c>
      <c r="F25" s="4">
        <v>1652</v>
      </c>
    </row>
    <row r="26" spans="1:6" x14ac:dyDescent="0.25">
      <c r="A26" t="s">
        <v>3</v>
      </c>
      <c r="B26">
        <v>2004</v>
      </c>
      <c r="C26">
        <v>329602607197.96979</v>
      </c>
      <c r="D26">
        <v>79811284206.88472</v>
      </c>
      <c r="E26">
        <v>8171966</v>
      </c>
      <c r="F26" s="4">
        <v>1655</v>
      </c>
    </row>
    <row r="27" spans="1:6" x14ac:dyDescent="0.25">
      <c r="A27" t="s">
        <v>3</v>
      </c>
      <c r="B27">
        <v>2005</v>
      </c>
      <c r="C27">
        <v>337250591613.84985</v>
      </c>
      <c r="D27">
        <v>80122566924.452698</v>
      </c>
      <c r="E27">
        <v>8227829</v>
      </c>
      <c r="F27" s="4">
        <v>1632</v>
      </c>
    </row>
    <row r="28" spans="1:6" x14ac:dyDescent="0.25">
      <c r="A28" t="s">
        <v>3</v>
      </c>
      <c r="B28">
        <v>2006</v>
      </c>
      <c r="C28">
        <v>348276446973.2608</v>
      </c>
      <c r="D28">
        <v>81191066671.07576</v>
      </c>
      <c r="E28">
        <v>8268641</v>
      </c>
      <c r="F28" s="4">
        <v>1617</v>
      </c>
    </row>
    <row r="29" spans="1:6" x14ac:dyDescent="0.25">
      <c r="A29" t="s">
        <v>3</v>
      </c>
      <c r="B29">
        <v>2007</v>
      </c>
      <c r="C29">
        <v>361424665131.86475</v>
      </c>
      <c r="D29">
        <v>84847724918.633957</v>
      </c>
      <c r="E29">
        <v>8295487</v>
      </c>
      <c r="F29" s="4">
        <v>1606</v>
      </c>
    </row>
    <row r="30" spans="1:6" x14ac:dyDescent="0.25">
      <c r="A30" t="s">
        <v>3</v>
      </c>
      <c r="B30">
        <v>2008</v>
      </c>
      <c r="C30">
        <v>366677270021.06866</v>
      </c>
      <c r="D30">
        <v>86349984291.795288</v>
      </c>
      <c r="E30">
        <v>8321496</v>
      </c>
      <c r="F30" s="4">
        <v>1599</v>
      </c>
    </row>
    <row r="31" spans="1:6" x14ac:dyDescent="0.25">
      <c r="A31" t="s">
        <v>3</v>
      </c>
      <c r="B31">
        <v>2009</v>
      </c>
      <c r="C31">
        <v>353527252232.55615</v>
      </c>
      <c r="D31">
        <v>80259416463.408173</v>
      </c>
      <c r="E31">
        <v>8343323</v>
      </c>
      <c r="F31" s="4">
        <v>1558</v>
      </c>
    </row>
    <row r="32" spans="1:6" x14ac:dyDescent="0.25">
      <c r="A32" t="s">
        <v>3</v>
      </c>
      <c r="B32">
        <v>2010</v>
      </c>
      <c r="C32">
        <v>359922498957.78619</v>
      </c>
      <c r="D32">
        <v>78274983868.726151</v>
      </c>
      <c r="E32">
        <v>8363404</v>
      </c>
      <c r="F32" s="4">
        <v>1552</v>
      </c>
    </row>
    <row r="33" spans="1:6" x14ac:dyDescent="0.25">
      <c r="A33" t="s">
        <v>3</v>
      </c>
      <c r="B33">
        <v>2011</v>
      </c>
      <c r="C33">
        <v>370459114608.07605</v>
      </c>
      <c r="D33">
        <v>83320835468.813644</v>
      </c>
      <c r="E33">
        <v>8391643</v>
      </c>
      <c r="F33" s="4">
        <v>1557</v>
      </c>
    </row>
    <row r="34" spans="1:6" x14ac:dyDescent="0.25">
      <c r="A34" t="s">
        <v>3</v>
      </c>
      <c r="B34">
        <v>2012</v>
      </c>
      <c r="C34">
        <v>372786509841.89203</v>
      </c>
      <c r="D34">
        <v>84383540229.608948</v>
      </c>
      <c r="E34">
        <v>8429991</v>
      </c>
      <c r="F34" s="4">
        <v>1535</v>
      </c>
    </row>
    <row r="35" spans="1:6" x14ac:dyDescent="0.25">
      <c r="A35" t="s">
        <v>3</v>
      </c>
      <c r="B35">
        <v>2013</v>
      </c>
      <c r="C35">
        <v>371851835102.08459</v>
      </c>
      <c r="D35">
        <v>85430081606.613632</v>
      </c>
      <c r="E35">
        <v>8479823</v>
      </c>
      <c r="F35" s="4">
        <v>1520</v>
      </c>
    </row>
    <row r="36" spans="1:6" x14ac:dyDescent="0.25">
      <c r="A36" t="s">
        <v>3</v>
      </c>
      <c r="B36">
        <v>2014</v>
      </c>
      <c r="C36">
        <v>374662287839.19513</v>
      </c>
      <c r="D36">
        <v>85152793254.501526</v>
      </c>
      <c r="E36">
        <v>8546356</v>
      </c>
      <c r="F36" s="4">
        <v>1510</v>
      </c>
    </row>
    <row r="37" spans="1:6" x14ac:dyDescent="0.25">
      <c r="A37" t="s">
        <v>3</v>
      </c>
      <c r="B37">
        <v>2015</v>
      </c>
      <c r="C37">
        <v>379546097300.63263</v>
      </c>
      <c r="D37">
        <v>86900730957.521042</v>
      </c>
      <c r="E37">
        <v>8642699</v>
      </c>
      <c r="F37" s="4">
        <v>1495</v>
      </c>
    </row>
    <row r="38" spans="1:6" x14ac:dyDescent="0.25">
      <c r="A38" t="s">
        <v>3</v>
      </c>
      <c r="B38">
        <v>2016</v>
      </c>
      <c r="C38">
        <v>387581921933.04669</v>
      </c>
      <c r="D38">
        <v>90841294692.071045</v>
      </c>
      <c r="E38">
        <v>8736668</v>
      </c>
      <c r="F38" s="4">
        <v>1507</v>
      </c>
    </row>
    <row r="39" spans="1:6" x14ac:dyDescent="0.25">
      <c r="A39" t="s">
        <v>3</v>
      </c>
      <c r="B39">
        <v>2017</v>
      </c>
      <c r="C39">
        <v>396388752620.72052</v>
      </c>
      <c r="D39">
        <v>94629426888.629639</v>
      </c>
      <c r="E39">
        <v>8797566</v>
      </c>
      <c r="F39" s="4">
        <v>1498</v>
      </c>
    </row>
    <row r="40" spans="1:6" x14ac:dyDescent="0.25">
      <c r="A40" t="s">
        <v>3</v>
      </c>
      <c r="B40">
        <v>2018</v>
      </c>
      <c r="C40">
        <v>406235924727.36621</v>
      </c>
      <c r="D40">
        <v>98806173741.719879</v>
      </c>
      <c r="E40">
        <v>8840521</v>
      </c>
      <c r="F40" s="4">
        <v>1502</v>
      </c>
    </row>
    <row r="41" spans="1:6" x14ac:dyDescent="0.25">
      <c r="A41" t="s">
        <v>3</v>
      </c>
      <c r="B41">
        <v>2019</v>
      </c>
      <c r="C41">
        <v>413365269561.54938</v>
      </c>
      <c r="D41">
        <v>103012060841.36949</v>
      </c>
      <c r="E41">
        <v>8879920</v>
      </c>
      <c r="F41" s="4">
        <v>1510</v>
      </c>
    </row>
    <row r="42" spans="1:6" x14ac:dyDescent="0.25">
      <c r="A42" t="s">
        <v>3</v>
      </c>
      <c r="B42">
        <v>2020</v>
      </c>
      <c r="C42">
        <v>387247796564.08649</v>
      </c>
      <c r="D42">
        <v>97526452697.569885</v>
      </c>
      <c r="E42">
        <v>8916864</v>
      </c>
      <c r="F42" s="4">
        <v>1400</v>
      </c>
    </row>
    <row r="43" spans="1:6" x14ac:dyDescent="0.25">
      <c r="A43" t="s">
        <v>3</v>
      </c>
      <c r="B43">
        <v>2021</v>
      </c>
      <c r="C43">
        <v>405817602863.18805</v>
      </c>
      <c r="D43">
        <v>103363231656.86832</v>
      </c>
      <c r="E43">
        <v>8955797</v>
      </c>
      <c r="F43" s="4">
        <v>1437</v>
      </c>
    </row>
    <row r="44" spans="1:6" x14ac:dyDescent="0.25">
      <c r="A44" t="s">
        <v>3</v>
      </c>
      <c r="B44">
        <v>2022</v>
      </c>
      <c r="C44">
        <v>427236226636.13214</v>
      </c>
      <c r="D44">
        <v>103747236287.3394</v>
      </c>
      <c r="E44">
        <v>9041851</v>
      </c>
      <c r="F44" s="4">
        <v>1435</v>
      </c>
    </row>
    <row r="45" spans="1:6" x14ac:dyDescent="0.25">
      <c r="A45" t="s">
        <v>4</v>
      </c>
      <c r="B45">
        <v>1980</v>
      </c>
      <c r="C45">
        <v>241871430251.09949</v>
      </c>
      <c r="D45">
        <v>55489690964.44529</v>
      </c>
      <c r="E45">
        <v>9859242</v>
      </c>
      <c r="F45" s="4">
        <v>1706.5</v>
      </c>
    </row>
    <row r="46" spans="1:6" x14ac:dyDescent="0.25">
      <c r="A46" t="s">
        <v>4</v>
      </c>
      <c r="B46">
        <v>1981</v>
      </c>
      <c r="C46">
        <v>241195923298.87448</v>
      </c>
      <c r="D46">
        <v>46855938740.144508</v>
      </c>
      <c r="E46">
        <v>9858982</v>
      </c>
      <c r="F46" s="4">
        <v>1683.4</v>
      </c>
    </row>
    <row r="47" spans="1:6" x14ac:dyDescent="0.25">
      <c r="A47" t="s">
        <v>4</v>
      </c>
      <c r="B47">
        <v>1982</v>
      </c>
      <c r="C47">
        <v>242631007214.07294</v>
      </c>
      <c r="D47">
        <v>44959244205.827316</v>
      </c>
      <c r="E47">
        <v>9856303</v>
      </c>
      <c r="F47" s="4">
        <v>1669</v>
      </c>
    </row>
    <row r="48" spans="1:6" x14ac:dyDescent="0.25">
      <c r="A48" t="s">
        <v>4</v>
      </c>
      <c r="B48">
        <v>1983</v>
      </c>
      <c r="C48">
        <v>243387633982.27017</v>
      </c>
      <c r="D48">
        <v>42592169462.503883</v>
      </c>
      <c r="E48">
        <v>9855520</v>
      </c>
      <c r="F48" s="4">
        <v>1674.9</v>
      </c>
    </row>
    <row r="49" spans="1:6" x14ac:dyDescent="0.25">
      <c r="A49" t="s">
        <v>4</v>
      </c>
      <c r="B49">
        <v>1984</v>
      </c>
      <c r="C49">
        <v>249390504802.26941</v>
      </c>
      <c r="D49">
        <v>43544731769.133965</v>
      </c>
      <c r="E49">
        <v>9855372</v>
      </c>
      <c r="F49" s="4">
        <v>1699</v>
      </c>
    </row>
    <row r="50" spans="1:6" x14ac:dyDescent="0.25">
      <c r="A50" t="s">
        <v>4</v>
      </c>
      <c r="B50">
        <v>1985</v>
      </c>
      <c r="C50">
        <v>253509918686.24948</v>
      </c>
      <c r="D50">
        <v>45443111653.532013</v>
      </c>
      <c r="E50">
        <v>9858308</v>
      </c>
      <c r="F50" s="4">
        <v>1705</v>
      </c>
    </row>
    <row r="51" spans="1:6" x14ac:dyDescent="0.25">
      <c r="A51" t="s">
        <v>4</v>
      </c>
      <c r="B51">
        <v>1986</v>
      </c>
      <c r="C51">
        <v>258130802439.94397</v>
      </c>
      <c r="D51">
        <v>46891343296.484352</v>
      </c>
      <c r="E51">
        <v>9861823</v>
      </c>
      <c r="F51" s="4">
        <v>1685</v>
      </c>
    </row>
    <row r="52" spans="1:6" x14ac:dyDescent="0.25">
      <c r="A52" t="s">
        <v>4</v>
      </c>
      <c r="B52">
        <v>1987</v>
      </c>
      <c r="C52">
        <v>264085000038.94434</v>
      </c>
      <c r="D52">
        <v>49192666086.883568</v>
      </c>
      <c r="E52">
        <v>9870234</v>
      </c>
      <c r="F52" s="4">
        <v>1669.9</v>
      </c>
    </row>
    <row r="53" spans="1:6" x14ac:dyDescent="0.25">
      <c r="A53" t="s">
        <v>4</v>
      </c>
      <c r="B53">
        <v>1988</v>
      </c>
      <c r="C53">
        <v>276558287082.51349</v>
      </c>
      <c r="D53">
        <v>57101459259.911293</v>
      </c>
      <c r="E53">
        <v>9901664</v>
      </c>
      <c r="F53" s="4">
        <v>1657.9</v>
      </c>
    </row>
    <row r="54" spans="1:6" x14ac:dyDescent="0.25">
      <c r="A54" t="s">
        <v>4</v>
      </c>
      <c r="B54">
        <v>1989</v>
      </c>
      <c r="C54">
        <v>286152554601.8443</v>
      </c>
      <c r="D54">
        <v>63715444232.502296</v>
      </c>
      <c r="E54">
        <v>9937697</v>
      </c>
      <c r="F54" s="4">
        <v>1648.9</v>
      </c>
    </row>
    <row r="55" spans="1:6" x14ac:dyDescent="0.25">
      <c r="A55" t="s">
        <v>4</v>
      </c>
      <c r="B55">
        <v>1990</v>
      </c>
      <c r="C55">
        <v>295130312407.3963</v>
      </c>
      <c r="D55">
        <v>69162749772.291748</v>
      </c>
      <c r="E55">
        <v>9967379</v>
      </c>
      <c r="F55" s="4">
        <v>1662.9</v>
      </c>
    </row>
    <row r="56" spans="1:6" x14ac:dyDescent="0.25">
      <c r="A56" t="s">
        <v>4</v>
      </c>
      <c r="B56">
        <v>1991</v>
      </c>
      <c r="C56">
        <v>300540270633.77435</v>
      </c>
      <c r="D56">
        <v>66279774834.598389</v>
      </c>
      <c r="E56">
        <v>10004486</v>
      </c>
      <c r="F56" s="4">
        <v>1625.8</v>
      </c>
    </row>
    <row r="57" spans="1:6" x14ac:dyDescent="0.25">
      <c r="A57" t="s">
        <v>4</v>
      </c>
      <c r="B57">
        <v>1992</v>
      </c>
      <c r="C57">
        <v>305140504133.54865</v>
      </c>
      <c r="D57">
        <v>66971014679.61245</v>
      </c>
      <c r="E57">
        <v>10045158</v>
      </c>
      <c r="F57" s="4">
        <v>1602.7</v>
      </c>
    </row>
    <row r="58" spans="1:6" x14ac:dyDescent="0.25">
      <c r="A58" t="s">
        <v>4</v>
      </c>
      <c r="B58">
        <v>1993</v>
      </c>
      <c r="C58">
        <v>302205439784.6662</v>
      </c>
      <c r="D58">
        <v>65281691433.091751</v>
      </c>
      <c r="E58">
        <v>10084475</v>
      </c>
      <c r="F58" s="4">
        <v>1558.6</v>
      </c>
    </row>
    <row r="59" spans="1:6" x14ac:dyDescent="0.25">
      <c r="A59" t="s">
        <v>4</v>
      </c>
      <c r="B59">
        <v>1994</v>
      </c>
      <c r="C59">
        <v>311957523308.04669</v>
      </c>
      <c r="D59">
        <v>65524468386.740974</v>
      </c>
      <c r="E59">
        <v>10115603</v>
      </c>
      <c r="F59" s="4">
        <v>1558.6</v>
      </c>
    </row>
    <row r="60" spans="1:6" x14ac:dyDescent="0.25">
      <c r="A60" t="s">
        <v>4</v>
      </c>
      <c r="B60">
        <v>1995</v>
      </c>
      <c r="C60">
        <v>319396952585.87598</v>
      </c>
      <c r="D60">
        <v>67761725683.809723</v>
      </c>
      <c r="E60">
        <v>10136811</v>
      </c>
      <c r="F60" s="4">
        <v>1578</v>
      </c>
    </row>
    <row r="61" spans="1:6" x14ac:dyDescent="0.25">
      <c r="A61" t="s">
        <v>4</v>
      </c>
      <c r="B61">
        <v>1996</v>
      </c>
      <c r="C61">
        <v>323617567359.63574</v>
      </c>
      <c r="D61">
        <v>68136508043.133949</v>
      </c>
      <c r="E61">
        <v>10156637</v>
      </c>
      <c r="F61" s="4">
        <v>1575</v>
      </c>
    </row>
    <row r="62" spans="1:6" x14ac:dyDescent="0.25">
      <c r="A62" t="s">
        <v>4</v>
      </c>
      <c r="B62">
        <v>1997</v>
      </c>
      <c r="C62">
        <v>335894554944.54395</v>
      </c>
      <c r="D62">
        <v>72701202735.50856</v>
      </c>
      <c r="E62">
        <v>10181245</v>
      </c>
      <c r="F62" s="4">
        <v>1582</v>
      </c>
    </row>
    <row r="63" spans="1:6" x14ac:dyDescent="0.25">
      <c r="A63" t="s">
        <v>4</v>
      </c>
      <c r="B63">
        <v>1998</v>
      </c>
      <c r="C63">
        <v>342484242694.34314</v>
      </c>
      <c r="D63">
        <v>74338336714.680038</v>
      </c>
      <c r="E63">
        <v>10203008</v>
      </c>
      <c r="F63" s="4">
        <v>1574</v>
      </c>
    </row>
    <row r="64" spans="1:6" x14ac:dyDescent="0.25">
      <c r="A64" t="s">
        <v>4</v>
      </c>
      <c r="B64">
        <v>1999</v>
      </c>
      <c r="C64">
        <v>354617493993.78375</v>
      </c>
      <c r="D64">
        <v>77382635936.183167</v>
      </c>
      <c r="E64">
        <v>10226419</v>
      </c>
      <c r="F64" s="4">
        <v>1575</v>
      </c>
    </row>
    <row r="65" spans="1:6" x14ac:dyDescent="0.25">
      <c r="A65" t="s">
        <v>4</v>
      </c>
      <c r="B65">
        <v>2000</v>
      </c>
      <c r="C65">
        <v>367797580691.14508</v>
      </c>
      <c r="D65">
        <v>81227904718.070267</v>
      </c>
      <c r="E65">
        <v>10251250</v>
      </c>
      <c r="F65" s="4">
        <v>1589</v>
      </c>
    </row>
    <row r="66" spans="1:6" x14ac:dyDescent="0.25">
      <c r="A66" t="s">
        <v>4</v>
      </c>
      <c r="B66">
        <v>2001</v>
      </c>
      <c r="C66">
        <v>371841896085.61029</v>
      </c>
      <c r="D66">
        <v>82548779814.359329</v>
      </c>
      <c r="E66">
        <v>10286570</v>
      </c>
      <c r="F66" s="4">
        <v>1581</v>
      </c>
    </row>
    <row r="67" spans="1:6" x14ac:dyDescent="0.25">
      <c r="A67" t="s">
        <v>4</v>
      </c>
      <c r="B67">
        <v>2002</v>
      </c>
      <c r="C67">
        <v>378188843495.68573</v>
      </c>
      <c r="D67">
        <v>79139193444.84996</v>
      </c>
      <c r="E67">
        <v>10332785</v>
      </c>
      <c r="F67" s="4">
        <v>1594</v>
      </c>
    </row>
    <row r="68" spans="1:6" x14ac:dyDescent="0.25">
      <c r="A68" t="s">
        <v>4</v>
      </c>
      <c r="B68">
        <v>2003</v>
      </c>
      <c r="C68">
        <v>382114274583.92047</v>
      </c>
      <c r="D68">
        <v>79034840428.948013</v>
      </c>
      <c r="E68">
        <v>10376133</v>
      </c>
      <c r="F68" s="4">
        <v>1598</v>
      </c>
    </row>
    <row r="69" spans="1:6" x14ac:dyDescent="0.25">
      <c r="A69" t="s">
        <v>4</v>
      </c>
      <c r="B69">
        <v>2004</v>
      </c>
      <c r="C69">
        <v>395760365571.44739</v>
      </c>
      <c r="D69">
        <v>86171510267.235123</v>
      </c>
      <c r="E69">
        <v>10421137</v>
      </c>
      <c r="F69" s="4">
        <v>1588</v>
      </c>
    </row>
    <row r="70" spans="1:6" x14ac:dyDescent="0.25">
      <c r="A70" t="s">
        <v>4</v>
      </c>
      <c r="B70">
        <v>2005</v>
      </c>
      <c r="C70">
        <v>404948884226.6767</v>
      </c>
      <c r="D70">
        <v>91115839218.804657</v>
      </c>
      <c r="E70">
        <v>10478617</v>
      </c>
      <c r="F70" s="4">
        <v>1578</v>
      </c>
    </row>
    <row r="71" spans="1:6" x14ac:dyDescent="0.25">
      <c r="A71" t="s">
        <v>4</v>
      </c>
      <c r="B71">
        <v>2006</v>
      </c>
      <c r="C71">
        <v>415284559325.88409</v>
      </c>
      <c r="D71">
        <v>92852062684.72496</v>
      </c>
      <c r="E71">
        <v>10547958</v>
      </c>
      <c r="F71" s="4">
        <v>1592</v>
      </c>
    </row>
    <row r="72" spans="1:6" x14ac:dyDescent="0.25">
      <c r="A72" t="s">
        <v>4</v>
      </c>
      <c r="B72">
        <v>2007</v>
      </c>
      <c r="C72">
        <v>430554260439.95874</v>
      </c>
      <c r="D72">
        <v>99613433130.680817</v>
      </c>
      <c r="E72">
        <v>10625700</v>
      </c>
      <c r="F72" s="4">
        <v>1594</v>
      </c>
    </row>
    <row r="73" spans="1:6" x14ac:dyDescent="0.25">
      <c r="A73" t="s">
        <v>4</v>
      </c>
      <c r="B73">
        <v>2008</v>
      </c>
      <c r="C73">
        <v>432478428732.47351</v>
      </c>
      <c r="D73">
        <v>101512946937.25308</v>
      </c>
      <c r="E73">
        <v>10709973</v>
      </c>
      <c r="F73" s="4">
        <v>1582</v>
      </c>
    </row>
    <row r="74" spans="1:6" x14ac:dyDescent="0.25">
      <c r="A74" t="s">
        <v>4</v>
      </c>
      <c r="B74">
        <v>2009</v>
      </c>
      <c r="C74">
        <v>424233483110.43445</v>
      </c>
      <c r="D74">
        <v>94326731800.835114</v>
      </c>
      <c r="E74">
        <v>10796493</v>
      </c>
      <c r="F74" s="4">
        <v>1563</v>
      </c>
    </row>
    <row r="75" spans="1:6" x14ac:dyDescent="0.25">
      <c r="A75" t="s">
        <v>4</v>
      </c>
      <c r="B75">
        <v>2010</v>
      </c>
      <c r="C75">
        <v>435731531622.91492</v>
      </c>
      <c r="D75">
        <v>94226507282.399185</v>
      </c>
      <c r="E75">
        <v>10895586</v>
      </c>
      <c r="F75" s="4">
        <v>1574</v>
      </c>
    </row>
    <row r="76" spans="1:6" x14ac:dyDescent="0.25">
      <c r="A76" t="s">
        <v>4</v>
      </c>
      <c r="B76">
        <v>2011</v>
      </c>
      <c r="C76">
        <v>444146182789.13953</v>
      </c>
      <c r="D76">
        <v>99352602183.27536</v>
      </c>
      <c r="E76">
        <v>11038264</v>
      </c>
      <c r="F76" s="4">
        <v>1590</v>
      </c>
    </row>
    <row r="77" spans="1:6" x14ac:dyDescent="0.25">
      <c r="A77" t="s">
        <v>4</v>
      </c>
      <c r="B77">
        <v>2012</v>
      </c>
      <c r="C77">
        <v>445104666566.06689</v>
      </c>
      <c r="D77">
        <v>100078944797.123</v>
      </c>
      <c r="E77">
        <v>11106932</v>
      </c>
      <c r="F77" s="4">
        <v>1587</v>
      </c>
    </row>
    <row r="78" spans="1:6" x14ac:dyDescent="0.25">
      <c r="A78" t="s">
        <v>4</v>
      </c>
      <c r="B78">
        <v>2013</v>
      </c>
      <c r="C78">
        <v>446464436746.24976</v>
      </c>
      <c r="D78">
        <v>97887223018.598389</v>
      </c>
      <c r="E78">
        <v>11159407</v>
      </c>
      <c r="F78" s="4">
        <v>1586</v>
      </c>
    </row>
    <row r="79" spans="1:6" x14ac:dyDescent="0.25">
      <c r="A79" t="s">
        <v>4</v>
      </c>
      <c r="B79">
        <v>2014</v>
      </c>
      <c r="C79">
        <v>454346946668.4115</v>
      </c>
      <c r="D79">
        <v>103508968394.07768</v>
      </c>
      <c r="E79">
        <v>11209057</v>
      </c>
      <c r="F79" s="4">
        <v>1582</v>
      </c>
    </row>
    <row r="80" spans="1:6" x14ac:dyDescent="0.25">
      <c r="A80" t="s">
        <v>4</v>
      </c>
      <c r="B80">
        <v>2015</v>
      </c>
      <c r="C80">
        <v>461044767544.53101</v>
      </c>
      <c r="D80">
        <v>106741020496.44525</v>
      </c>
      <c r="E80">
        <v>11274196</v>
      </c>
      <c r="F80" s="4">
        <v>1575</v>
      </c>
    </row>
    <row r="81" spans="1:6" x14ac:dyDescent="0.25">
      <c r="A81" t="s">
        <v>4</v>
      </c>
      <c r="B81">
        <v>2016</v>
      </c>
      <c r="C81">
        <v>466547349016.53143</v>
      </c>
      <c r="D81">
        <v>111321506885.79213</v>
      </c>
      <c r="E81">
        <v>11331422</v>
      </c>
      <c r="F81" s="4">
        <v>1574</v>
      </c>
    </row>
    <row r="82" spans="1:6" x14ac:dyDescent="0.25">
      <c r="A82" t="s">
        <v>4</v>
      </c>
      <c r="B82">
        <v>2017</v>
      </c>
      <c r="C82">
        <v>473426438780.18262</v>
      </c>
      <c r="D82">
        <v>112693371865.99564</v>
      </c>
      <c r="E82">
        <v>11375158</v>
      </c>
      <c r="F82" s="4">
        <v>1578</v>
      </c>
    </row>
    <row r="83" spans="1:6" x14ac:dyDescent="0.25">
      <c r="A83" t="s">
        <v>4</v>
      </c>
      <c r="B83">
        <v>2018</v>
      </c>
      <c r="C83">
        <v>482317238512.93182</v>
      </c>
      <c r="D83">
        <v>116079941390.58899</v>
      </c>
      <c r="E83">
        <v>11427054</v>
      </c>
      <c r="F83" s="4">
        <v>1580</v>
      </c>
    </row>
    <row r="84" spans="1:6" x14ac:dyDescent="0.25">
      <c r="A84" t="s">
        <v>4</v>
      </c>
      <c r="B84">
        <v>2019</v>
      </c>
      <c r="C84">
        <v>494099718421.51422</v>
      </c>
      <c r="D84">
        <v>121222240727.23274</v>
      </c>
      <c r="E84">
        <v>11488980</v>
      </c>
      <c r="F84" s="4">
        <v>1577</v>
      </c>
    </row>
    <row r="85" spans="1:6" x14ac:dyDescent="0.25">
      <c r="A85" t="s">
        <v>4</v>
      </c>
      <c r="B85">
        <v>2020</v>
      </c>
      <c r="C85">
        <v>470417598481.15094</v>
      </c>
      <c r="D85">
        <v>115043533194.81438</v>
      </c>
      <c r="E85">
        <v>11538604</v>
      </c>
      <c r="F85" s="4">
        <v>1446</v>
      </c>
    </row>
    <row r="86" spans="1:6" x14ac:dyDescent="0.25">
      <c r="A86" t="s">
        <v>4</v>
      </c>
      <c r="B86">
        <v>2021</v>
      </c>
      <c r="C86">
        <v>499595504127.05951</v>
      </c>
      <c r="D86">
        <v>120013562902.98235</v>
      </c>
      <c r="E86">
        <v>11586195</v>
      </c>
      <c r="F86" s="4">
        <v>1530</v>
      </c>
    </row>
    <row r="87" spans="1:6" x14ac:dyDescent="0.25">
      <c r="A87" t="s">
        <v>4</v>
      </c>
      <c r="B87">
        <v>2022</v>
      </c>
      <c r="C87">
        <v>520745539238.46692</v>
      </c>
      <c r="D87">
        <v>122075437278.40422</v>
      </c>
      <c r="E87">
        <v>11680210</v>
      </c>
      <c r="F87" s="4">
        <v>1535</v>
      </c>
    </row>
    <row r="88" spans="1:6" x14ac:dyDescent="0.25">
      <c r="A88" t="s">
        <v>5</v>
      </c>
      <c r="B88">
        <v>1980</v>
      </c>
      <c r="C88">
        <v>677180907601.95337</v>
      </c>
      <c r="D88">
        <v>135167765737.49687</v>
      </c>
      <c r="E88">
        <v>24515667</v>
      </c>
      <c r="F88" s="4">
        <v>1827</v>
      </c>
    </row>
    <row r="89" spans="1:6" x14ac:dyDescent="0.25">
      <c r="A89" t="s">
        <v>5</v>
      </c>
      <c r="B89">
        <v>1981</v>
      </c>
      <c r="C89">
        <v>700307077493.49207</v>
      </c>
      <c r="D89">
        <v>147443424448.46365</v>
      </c>
      <c r="E89">
        <v>24819915</v>
      </c>
      <c r="F89" s="4">
        <v>1812</v>
      </c>
    </row>
    <row r="90" spans="1:6" x14ac:dyDescent="0.25">
      <c r="A90" t="s">
        <v>5</v>
      </c>
      <c r="B90">
        <v>1982</v>
      </c>
      <c r="C90">
        <v>678134303092.57056</v>
      </c>
      <c r="D90">
        <v>131554543302.89435</v>
      </c>
      <c r="E90">
        <v>25116942</v>
      </c>
      <c r="F90" s="4">
        <v>1789</v>
      </c>
    </row>
    <row r="91" spans="1:6" x14ac:dyDescent="0.25">
      <c r="A91" t="s">
        <v>5</v>
      </c>
      <c r="B91">
        <v>1983</v>
      </c>
      <c r="C91">
        <v>695509823673.7312</v>
      </c>
      <c r="D91">
        <v>130619426864.65808</v>
      </c>
      <c r="E91">
        <v>25366451</v>
      </c>
      <c r="F91" s="4">
        <v>1779</v>
      </c>
    </row>
    <row r="92" spans="1:6" x14ac:dyDescent="0.25">
      <c r="A92" t="s">
        <v>5</v>
      </c>
      <c r="B92">
        <v>1984</v>
      </c>
      <c r="C92">
        <v>736534953481.40479</v>
      </c>
      <c r="D92">
        <v>133450750810.54906</v>
      </c>
      <c r="E92">
        <v>25607053</v>
      </c>
      <c r="F92" s="4">
        <v>1789</v>
      </c>
    </row>
    <row r="93" spans="1:6" x14ac:dyDescent="0.25">
      <c r="A93" t="s">
        <v>5</v>
      </c>
      <c r="B93">
        <v>1985</v>
      </c>
      <c r="C93">
        <v>771429628504.86682</v>
      </c>
      <c r="D93">
        <v>144780941079.19751</v>
      </c>
      <c r="E93">
        <v>25842116</v>
      </c>
      <c r="F93" s="4">
        <v>1795</v>
      </c>
    </row>
    <row r="94" spans="1:6" x14ac:dyDescent="0.25">
      <c r="A94" t="s">
        <v>5</v>
      </c>
      <c r="B94">
        <v>1986</v>
      </c>
      <c r="C94">
        <v>787795360275.09192</v>
      </c>
      <c r="D94">
        <v>150514362333.83197</v>
      </c>
      <c r="E94">
        <v>26100278</v>
      </c>
      <c r="F94" s="4">
        <v>1797</v>
      </c>
    </row>
    <row r="95" spans="1:6" x14ac:dyDescent="0.25">
      <c r="A95" t="s">
        <v>5</v>
      </c>
      <c r="B95">
        <v>1987</v>
      </c>
      <c r="C95">
        <v>819874511491.84399</v>
      </c>
      <c r="D95">
        <v>164173119325.79797</v>
      </c>
      <c r="E95">
        <v>26446601</v>
      </c>
      <c r="F95" s="4">
        <v>1807</v>
      </c>
    </row>
    <row r="96" spans="1:6" x14ac:dyDescent="0.25">
      <c r="A96" t="s">
        <v>5</v>
      </c>
      <c r="B96">
        <v>1988</v>
      </c>
      <c r="C96">
        <v>856037856755.4137</v>
      </c>
      <c r="D96">
        <v>179156435493.64322</v>
      </c>
      <c r="E96">
        <v>26791747</v>
      </c>
      <c r="F96" s="4">
        <v>1808</v>
      </c>
    </row>
    <row r="97" spans="1:6" x14ac:dyDescent="0.25">
      <c r="A97" t="s">
        <v>5</v>
      </c>
      <c r="B97">
        <v>1989</v>
      </c>
      <c r="C97">
        <v>876046284221.59888</v>
      </c>
      <c r="D97">
        <v>188390707779.75388</v>
      </c>
      <c r="E97">
        <v>27276781</v>
      </c>
      <c r="F97" s="4">
        <v>1802</v>
      </c>
    </row>
    <row r="98" spans="1:6" x14ac:dyDescent="0.25">
      <c r="A98" t="s">
        <v>5</v>
      </c>
      <c r="B98">
        <v>1990</v>
      </c>
      <c r="C98">
        <v>877824201432.1178</v>
      </c>
      <c r="D98">
        <v>181839059837.16055</v>
      </c>
      <c r="E98">
        <v>27691138</v>
      </c>
      <c r="F98" s="4">
        <v>1797</v>
      </c>
    </row>
    <row r="99" spans="1:6" x14ac:dyDescent="0.25">
      <c r="A99" t="s">
        <v>5</v>
      </c>
      <c r="B99">
        <v>1991</v>
      </c>
      <c r="C99">
        <v>859468413002.86328</v>
      </c>
      <c r="D99">
        <v>174159361720.18295</v>
      </c>
      <c r="E99">
        <v>28037420</v>
      </c>
      <c r="F99" s="4">
        <v>1775</v>
      </c>
    </row>
    <row r="100" spans="1:6" x14ac:dyDescent="0.25">
      <c r="A100" t="s">
        <v>5</v>
      </c>
      <c r="B100">
        <v>1992</v>
      </c>
      <c r="C100">
        <v>867121689189.49463</v>
      </c>
      <c r="D100">
        <v>169040127573.42722</v>
      </c>
      <c r="E100">
        <v>28371264</v>
      </c>
      <c r="F100" s="4">
        <v>1772</v>
      </c>
    </row>
    <row r="101" spans="1:6" x14ac:dyDescent="0.25">
      <c r="A101" t="s">
        <v>5</v>
      </c>
      <c r="B101">
        <v>1993</v>
      </c>
      <c r="C101">
        <v>890167242008.60352</v>
      </c>
      <c r="D101">
        <v>167076911210.22101</v>
      </c>
      <c r="E101">
        <v>28684764</v>
      </c>
      <c r="F101" s="4">
        <v>1769</v>
      </c>
    </row>
    <row r="102" spans="1:6" x14ac:dyDescent="0.25">
      <c r="A102" t="s">
        <v>5</v>
      </c>
      <c r="B102">
        <v>1994</v>
      </c>
      <c r="C102">
        <v>930171796213.96008</v>
      </c>
      <c r="D102">
        <v>178273270663.74591</v>
      </c>
      <c r="E102">
        <v>29000663</v>
      </c>
      <c r="F102" s="4">
        <v>1778</v>
      </c>
    </row>
    <row r="103" spans="1:6" x14ac:dyDescent="0.25">
      <c r="A103" t="s">
        <v>5</v>
      </c>
      <c r="B103">
        <v>1995</v>
      </c>
      <c r="C103">
        <v>955122057570.81689</v>
      </c>
      <c r="D103">
        <v>175839483849.98752</v>
      </c>
      <c r="E103">
        <v>29302311</v>
      </c>
      <c r="F103" s="4">
        <v>1775</v>
      </c>
    </row>
    <row r="104" spans="1:6" x14ac:dyDescent="0.25">
      <c r="A104" t="s">
        <v>5</v>
      </c>
      <c r="B104">
        <v>1996</v>
      </c>
      <c r="C104">
        <v>971253698607.85181</v>
      </c>
      <c r="D104">
        <v>185983837896.99023</v>
      </c>
      <c r="E104">
        <v>29610218</v>
      </c>
      <c r="F104" s="4">
        <v>1790</v>
      </c>
    </row>
    <row r="105" spans="1:6" x14ac:dyDescent="0.25">
      <c r="A105" t="s">
        <v>5</v>
      </c>
      <c r="B105">
        <v>1997</v>
      </c>
      <c r="C105">
        <v>1012824977566.9785</v>
      </c>
      <c r="D105">
        <v>207707218960.40881</v>
      </c>
      <c r="E105">
        <v>29905948</v>
      </c>
      <c r="F105" s="4">
        <v>1802</v>
      </c>
    </row>
    <row r="106" spans="1:6" x14ac:dyDescent="0.25">
      <c r="A106" t="s">
        <v>5</v>
      </c>
      <c r="B106">
        <v>1998</v>
      </c>
      <c r="C106">
        <v>1052253104690.2238</v>
      </c>
      <c r="D106">
        <v>214424696030.18445</v>
      </c>
      <c r="E106">
        <v>30155173</v>
      </c>
      <c r="F106" s="4">
        <v>1797</v>
      </c>
    </row>
    <row r="107" spans="1:6" x14ac:dyDescent="0.25">
      <c r="A107" t="s">
        <v>5</v>
      </c>
      <c r="B107">
        <v>1999</v>
      </c>
      <c r="C107">
        <v>1106349473421.6594</v>
      </c>
      <c r="D107">
        <v>225430945519.03287</v>
      </c>
      <c r="E107">
        <v>30401286</v>
      </c>
      <c r="F107" s="4">
        <v>1795</v>
      </c>
    </row>
    <row r="108" spans="1:6" x14ac:dyDescent="0.25">
      <c r="A108" t="s">
        <v>5</v>
      </c>
      <c r="B108">
        <v>2000</v>
      </c>
      <c r="C108">
        <v>1163199674646.7644</v>
      </c>
      <c r="D108">
        <v>236847343317.67145</v>
      </c>
      <c r="E108">
        <v>30685730</v>
      </c>
      <c r="F108" s="4">
        <v>1789</v>
      </c>
    </row>
    <row r="109" spans="1:6" x14ac:dyDescent="0.25">
      <c r="A109" t="s">
        <v>5</v>
      </c>
      <c r="B109">
        <v>2001</v>
      </c>
      <c r="C109">
        <v>1185010810019.4507</v>
      </c>
      <c r="D109">
        <v>248260729666.86752</v>
      </c>
      <c r="E109">
        <v>31020855</v>
      </c>
      <c r="F109" s="4">
        <v>1775</v>
      </c>
    </row>
    <row r="110" spans="1:6" x14ac:dyDescent="0.25">
      <c r="A110" t="s">
        <v>5</v>
      </c>
      <c r="B110">
        <v>2002</v>
      </c>
      <c r="C110">
        <v>1220552310131.9348</v>
      </c>
      <c r="D110">
        <v>250731032357.84421</v>
      </c>
      <c r="E110">
        <v>31359199</v>
      </c>
      <c r="F110" s="4">
        <v>1757</v>
      </c>
    </row>
    <row r="111" spans="1:6" x14ac:dyDescent="0.25">
      <c r="A111" t="s">
        <v>5</v>
      </c>
      <c r="B111">
        <v>2003</v>
      </c>
      <c r="C111">
        <v>1242600185625.168</v>
      </c>
      <c r="D111">
        <v>263820776329.54379</v>
      </c>
      <c r="E111">
        <v>31642461</v>
      </c>
      <c r="F111" s="4">
        <v>1747</v>
      </c>
    </row>
    <row r="112" spans="1:6" x14ac:dyDescent="0.25">
      <c r="A112" t="s">
        <v>5</v>
      </c>
      <c r="B112">
        <v>2004</v>
      </c>
      <c r="C112">
        <v>1281025904373.6858</v>
      </c>
      <c r="D112">
        <v>286071571590.96344</v>
      </c>
      <c r="E112">
        <v>31938807</v>
      </c>
      <c r="F112" s="4">
        <v>1757</v>
      </c>
    </row>
    <row r="113" spans="1:6" x14ac:dyDescent="0.25">
      <c r="A113" t="s">
        <v>5</v>
      </c>
      <c r="B113">
        <v>2005</v>
      </c>
      <c r="C113">
        <v>1322152656328.6985</v>
      </c>
      <c r="D113">
        <v>312174263272.62506</v>
      </c>
      <c r="E113">
        <v>32242732</v>
      </c>
      <c r="F113" s="4">
        <v>1747</v>
      </c>
    </row>
    <row r="114" spans="1:6" x14ac:dyDescent="0.25">
      <c r="A114" t="s">
        <v>5</v>
      </c>
      <c r="B114">
        <v>2006</v>
      </c>
      <c r="C114">
        <v>1357030300358.2866</v>
      </c>
      <c r="D114">
        <v>331780833103.3877</v>
      </c>
      <c r="E114">
        <v>32571193</v>
      </c>
      <c r="F114" s="4">
        <v>1745</v>
      </c>
    </row>
    <row r="115" spans="1:6" x14ac:dyDescent="0.25">
      <c r="A115" t="s">
        <v>5</v>
      </c>
      <c r="B115">
        <v>2007</v>
      </c>
      <c r="C115">
        <v>1384848127059.2202</v>
      </c>
      <c r="D115">
        <v>342289972130.6142</v>
      </c>
      <c r="E115">
        <v>32888886</v>
      </c>
      <c r="F115" s="4">
        <v>1745</v>
      </c>
    </row>
    <row r="116" spans="1:6" x14ac:dyDescent="0.25">
      <c r="A116" t="s">
        <v>5</v>
      </c>
      <c r="B116">
        <v>2008</v>
      </c>
      <c r="C116">
        <v>1398632992699.7959</v>
      </c>
      <c r="D116">
        <v>347856624304.22845</v>
      </c>
      <c r="E116">
        <v>33247298</v>
      </c>
      <c r="F116" s="4">
        <v>1742</v>
      </c>
    </row>
    <row r="117" spans="1:6" x14ac:dyDescent="0.25">
      <c r="A117" t="s">
        <v>5</v>
      </c>
      <c r="B117">
        <v>2009</v>
      </c>
      <c r="C117">
        <v>1357861634788.5347</v>
      </c>
      <c r="D117">
        <v>308497984167.74304</v>
      </c>
      <c r="E117">
        <v>33630069</v>
      </c>
      <c r="F117" s="4">
        <v>1710</v>
      </c>
    </row>
    <row r="118" spans="1:6" x14ac:dyDescent="0.25">
      <c r="A118" t="s">
        <v>5</v>
      </c>
      <c r="B118">
        <v>2010</v>
      </c>
      <c r="C118">
        <v>1399830508747.1685</v>
      </c>
      <c r="D118">
        <v>344009999288.99609</v>
      </c>
      <c r="E118">
        <v>34005902</v>
      </c>
      <c r="F118" s="4">
        <v>1715</v>
      </c>
    </row>
    <row r="119" spans="1:6" x14ac:dyDescent="0.25">
      <c r="A119" t="s">
        <v>5</v>
      </c>
      <c r="B119">
        <v>2011</v>
      </c>
      <c r="C119">
        <v>1443745912933.406</v>
      </c>
      <c r="D119">
        <v>359963818576.50391</v>
      </c>
      <c r="E119">
        <v>34339221</v>
      </c>
      <c r="F119" s="4">
        <v>1711</v>
      </c>
    </row>
    <row r="120" spans="1:6" x14ac:dyDescent="0.25">
      <c r="A120" t="s">
        <v>5</v>
      </c>
      <c r="B120">
        <v>2012</v>
      </c>
      <c r="C120">
        <v>1469093201563.9077</v>
      </c>
      <c r="D120">
        <v>377552208986.27887</v>
      </c>
      <c r="E120">
        <v>34713395</v>
      </c>
      <c r="F120" s="4">
        <v>1721</v>
      </c>
    </row>
    <row r="121" spans="1:6" x14ac:dyDescent="0.25">
      <c r="A121" t="s">
        <v>5</v>
      </c>
      <c r="B121">
        <v>2013</v>
      </c>
      <c r="C121">
        <v>1503261570659.634</v>
      </c>
      <c r="D121">
        <v>383022487739.80878</v>
      </c>
      <c r="E121">
        <v>35080992</v>
      </c>
      <c r="F121" s="4">
        <v>1714</v>
      </c>
    </row>
    <row r="122" spans="1:6" x14ac:dyDescent="0.25">
      <c r="A122" t="s">
        <v>5</v>
      </c>
      <c r="B122">
        <v>2014</v>
      </c>
      <c r="C122">
        <v>1546457292386.5281</v>
      </c>
      <c r="D122">
        <v>391640690664.3902</v>
      </c>
      <c r="E122">
        <v>35434066</v>
      </c>
      <c r="F122" s="4">
        <v>1709</v>
      </c>
    </row>
    <row r="123" spans="1:6" x14ac:dyDescent="0.25">
      <c r="A123" t="s">
        <v>5</v>
      </c>
      <c r="B123">
        <v>2015</v>
      </c>
      <c r="C123">
        <v>1556508816217.1401</v>
      </c>
      <c r="D123">
        <v>371236410475.86182</v>
      </c>
      <c r="E123">
        <v>35704498</v>
      </c>
      <c r="F123" s="4">
        <v>1710</v>
      </c>
    </row>
    <row r="124" spans="1:6" x14ac:dyDescent="0.25">
      <c r="A124" t="s">
        <v>5</v>
      </c>
      <c r="B124">
        <v>2016</v>
      </c>
      <c r="C124">
        <v>1572673953080.0439</v>
      </c>
      <c r="D124">
        <v>353962171875.71771</v>
      </c>
      <c r="E124">
        <v>36110803</v>
      </c>
      <c r="F124" s="4">
        <v>1701</v>
      </c>
    </row>
    <row r="125" spans="1:6" x14ac:dyDescent="0.25">
      <c r="A125" t="s">
        <v>5</v>
      </c>
      <c r="B125">
        <v>2017</v>
      </c>
      <c r="C125">
        <v>1620386284372.8096</v>
      </c>
      <c r="D125">
        <v>365799824610.07013</v>
      </c>
      <c r="E125">
        <v>36545075</v>
      </c>
      <c r="F125" s="4">
        <v>1689</v>
      </c>
    </row>
    <row r="126" spans="1:6" x14ac:dyDescent="0.25">
      <c r="A126" t="s">
        <v>5</v>
      </c>
      <c r="B126">
        <v>2018</v>
      </c>
      <c r="C126">
        <v>1664832887596.1296</v>
      </c>
      <c r="D126">
        <v>374445131361.62573</v>
      </c>
      <c r="E126">
        <v>37072620</v>
      </c>
      <c r="F126" s="4">
        <v>1702</v>
      </c>
    </row>
    <row r="127" spans="1:6" x14ac:dyDescent="0.25">
      <c r="A127" t="s">
        <v>5</v>
      </c>
      <c r="B127">
        <v>2019</v>
      </c>
      <c r="C127">
        <v>1696605089927.3782</v>
      </c>
      <c r="D127">
        <v>377352875431.32074</v>
      </c>
      <c r="E127">
        <v>37618495</v>
      </c>
      <c r="F127" s="4">
        <v>1691</v>
      </c>
    </row>
    <row r="128" spans="1:6" x14ac:dyDescent="0.25">
      <c r="A128" t="s">
        <v>5</v>
      </c>
      <c r="B128">
        <v>2020</v>
      </c>
      <c r="C128">
        <v>1611126164920.1387</v>
      </c>
      <c r="D128">
        <v>363144870255.40601</v>
      </c>
      <c r="E128">
        <v>38028638</v>
      </c>
      <c r="F128" s="4">
        <v>1653</v>
      </c>
    </row>
    <row r="129" spans="1:6" x14ac:dyDescent="0.25">
      <c r="A129" t="s">
        <v>5</v>
      </c>
      <c r="B129">
        <v>2021</v>
      </c>
      <c r="C129">
        <v>1696305710720.0371</v>
      </c>
      <c r="D129">
        <v>396921235591.17712</v>
      </c>
      <c r="E129">
        <v>38239864</v>
      </c>
      <c r="F129" s="4">
        <v>1685</v>
      </c>
    </row>
    <row r="130" spans="1:6" x14ac:dyDescent="0.25">
      <c r="A130" t="s">
        <v>5</v>
      </c>
      <c r="B130">
        <v>2022</v>
      </c>
      <c r="C130">
        <v>1761102321572.6389</v>
      </c>
      <c r="D130">
        <v>387582497054.47565</v>
      </c>
      <c r="E130">
        <v>38939056</v>
      </c>
      <c r="F130" s="4">
        <v>1686</v>
      </c>
    </row>
    <row r="131" spans="1:6" x14ac:dyDescent="0.25">
      <c r="A131" t="s">
        <v>6</v>
      </c>
      <c r="B131">
        <v>1980</v>
      </c>
      <c r="C131">
        <v>162635188839.13806</v>
      </c>
      <c r="D131">
        <v>24880873531.321922</v>
      </c>
      <c r="E131">
        <v>5123027</v>
      </c>
      <c r="F131" s="4">
        <v>1577</v>
      </c>
    </row>
    <row r="132" spans="1:6" x14ac:dyDescent="0.25">
      <c r="A132" t="s">
        <v>6</v>
      </c>
      <c r="B132">
        <v>1981</v>
      </c>
      <c r="C132">
        <v>161430084160.47565</v>
      </c>
      <c r="D132">
        <v>20754413742.839554</v>
      </c>
      <c r="E132">
        <v>5121572</v>
      </c>
      <c r="F132" s="4">
        <v>1546</v>
      </c>
    </row>
    <row r="133" spans="1:6" x14ac:dyDescent="0.25">
      <c r="A133" t="s">
        <v>6</v>
      </c>
      <c r="B133">
        <v>1982</v>
      </c>
      <c r="C133">
        <v>167713124645.42468</v>
      </c>
      <c r="D133">
        <v>22516895640.603188</v>
      </c>
      <c r="E133">
        <v>5117810</v>
      </c>
      <c r="F133" s="4">
        <v>1553</v>
      </c>
    </row>
    <row r="134" spans="1:6" x14ac:dyDescent="0.25">
      <c r="A134" t="s">
        <v>6</v>
      </c>
      <c r="B134">
        <v>1983</v>
      </c>
      <c r="C134">
        <v>172165579287.13504</v>
      </c>
      <c r="D134">
        <v>23522794677.212772</v>
      </c>
      <c r="E134">
        <v>5114297</v>
      </c>
      <c r="F134" s="4">
        <v>1546</v>
      </c>
    </row>
    <row r="135" spans="1:6" x14ac:dyDescent="0.25">
      <c r="A135" t="s">
        <v>6</v>
      </c>
      <c r="B135">
        <v>1984</v>
      </c>
      <c r="C135">
        <v>179636437796.38043</v>
      </c>
      <c r="D135">
        <v>25992766009.559265</v>
      </c>
      <c r="E135">
        <v>5111619</v>
      </c>
      <c r="F135" s="4">
        <v>1541</v>
      </c>
    </row>
    <row r="136" spans="1:6" x14ac:dyDescent="0.25">
      <c r="A136" t="s">
        <v>6</v>
      </c>
      <c r="B136">
        <v>1985</v>
      </c>
      <c r="C136">
        <v>187096889651.40842</v>
      </c>
      <c r="D136">
        <v>29633760395.220249</v>
      </c>
      <c r="E136">
        <v>5113691</v>
      </c>
      <c r="F136" s="4">
        <v>1527</v>
      </c>
    </row>
    <row r="137" spans="1:6" x14ac:dyDescent="0.25">
      <c r="A137" t="s">
        <v>6</v>
      </c>
      <c r="B137">
        <v>1986</v>
      </c>
      <c r="C137">
        <v>195952945255.9299</v>
      </c>
      <c r="D137">
        <v>34987555253.443619</v>
      </c>
      <c r="E137">
        <v>5120534</v>
      </c>
      <c r="F137" s="4">
        <v>1531</v>
      </c>
    </row>
    <row r="138" spans="1:6" x14ac:dyDescent="0.25">
      <c r="A138" t="s">
        <v>6</v>
      </c>
      <c r="B138">
        <v>1987</v>
      </c>
      <c r="C138">
        <v>196860120868.35199</v>
      </c>
      <c r="D138">
        <v>36050016607.211014</v>
      </c>
      <c r="E138">
        <v>5127024</v>
      </c>
      <c r="F138" s="4">
        <v>1493</v>
      </c>
    </row>
    <row r="139" spans="1:6" x14ac:dyDescent="0.25">
      <c r="A139" t="s">
        <v>6</v>
      </c>
      <c r="B139">
        <v>1988</v>
      </c>
      <c r="C139">
        <v>197397452774.1958</v>
      </c>
      <c r="D139">
        <v>34091943267.265285</v>
      </c>
      <c r="E139">
        <v>5129516</v>
      </c>
      <c r="F139" s="4">
        <v>1471</v>
      </c>
    </row>
    <row r="140" spans="1:6" x14ac:dyDescent="0.25">
      <c r="A140" t="s">
        <v>6</v>
      </c>
      <c r="B140">
        <v>1989</v>
      </c>
      <c r="C140">
        <v>198773654947.05142</v>
      </c>
      <c r="D140">
        <v>34814596556.306625</v>
      </c>
      <c r="E140">
        <v>5132594</v>
      </c>
      <c r="F140" s="4">
        <v>1455</v>
      </c>
    </row>
    <row r="141" spans="1:6" x14ac:dyDescent="0.25">
      <c r="A141" t="s">
        <v>6</v>
      </c>
      <c r="B141">
        <v>1990</v>
      </c>
      <c r="C141">
        <v>202073829809.27109</v>
      </c>
      <c r="D141">
        <v>34791196410.622734</v>
      </c>
      <c r="E141">
        <v>5140939</v>
      </c>
      <c r="F141" s="4">
        <v>1441</v>
      </c>
    </row>
    <row r="142" spans="1:6" x14ac:dyDescent="0.25">
      <c r="A142" t="s">
        <v>6</v>
      </c>
      <c r="B142">
        <v>1991</v>
      </c>
      <c r="C142">
        <v>205020430066.54312</v>
      </c>
      <c r="D142">
        <v>34004264437.16378</v>
      </c>
      <c r="E142">
        <v>5154298</v>
      </c>
      <c r="F142" s="4">
        <v>1437</v>
      </c>
    </row>
    <row r="143" spans="1:6" x14ac:dyDescent="0.25">
      <c r="A143" t="s">
        <v>6</v>
      </c>
      <c r="B143">
        <v>1992</v>
      </c>
      <c r="C143">
        <v>209167606402.31055</v>
      </c>
      <c r="D143">
        <v>33891688710.568283</v>
      </c>
      <c r="E143">
        <v>5171370</v>
      </c>
      <c r="F143" s="4">
        <v>1452</v>
      </c>
    </row>
    <row r="144" spans="1:6" x14ac:dyDescent="0.25">
      <c r="A144" t="s">
        <v>6</v>
      </c>
      <c r="B144">
        <v>1993</v>
      </c>
      <c r="C144">
        <v>209002572309.56195</v>
      </c>
      <c r="D144">
        <v>32968962644.992867</v>
      </c>
      <c r="E144">
        <v>5188628</v>
      </c>
      <c r="F144" s="4">
        <v>1449</v>
      </c>
    </row>
    <row r="145" spans="1:6" x14ac:dyDescent="0.25">
      <c r="A145" t="s">
        <v>6</v>
      </c>
      <c r="B145">
        <v>1994</v>
      </c>
      <c r="C145">
        <v>220068623440.60223</v>
      </c>
      <c r="D145">
        <v>35216653253.557121</v>
      </c>
      <c r="E145">
        <v>5206180</v>
      </c>
      <c r="F145" s="4">
        <v>1407</v>
      </c>
    </row>
    <row r="146" spans="1:6" x14ac:dyDescent="0.25">
      <c r="A146" t="s">
        <v>6</v>
      </c>
      <c r="B146">
        <v>1995</v>
      </c>
      <c r="C146">
        <v>226754355589.9776</v>
      </c>
      <c r="D146">
        <v>38897305590.300133</v>
      </c>
      <c r="E146">
        <v>5233373</v>
      </c>
      <c r="F146" s="4">
        <v>1419</v>
      </c>
    </row>
    <row r="147" spans="1:6" x14ac:dyDescent="0.25">
      <c r="A147" t="s">
        <v>6</v>
      </c>
      <c r="B147">
        <v>1996</v>
      </c>
      <c r="C147">
        <v>233320596340.2955</v>
      </c>
      <c r="D147">
        <v>40965324566.912392</v>
      </c>
      <c r="E147">
        <v>5263074</v>
      </c>
      <c r="F147" s="4">
        <v>1412</v>
      </c>
    </row>
    <row r="148" spans="1:6" x14ac:dyDescent="0.25">
      <c r="A148" t="s">
        <v>6</v>
      </c>
      <c r="B148">
        <v>1997</v>
      </c>
      <c r="C148">
        <v>240713316133.71405</v>
      </c>
      <c r="D148">
        <v>45098970394.264244</v>
      </c>
      <c r="E148">
        <v>5284991</v>
      </c>
      <c r="F148" s="4">
        <v>1428</v>
      </c>
    </row>
    <row r="149" spans="1:6" x14ac:dyDescent="0.25">
      <c r="A149" t="s">
        <v>6</v>
      </c>
      <c r="B149">
        <v>1998</v>
      </c>
      <c r="C149">
        <v>246313036662.65323</v>
      </c>
      <c r="D149">
        <v>48124183660.49469</v>
      </c>
      <c r="E149">
        <v>5304219</v>
      </c>
      <c r="F149" s="4">
        <v>1441</v>
      </c>
    </row>
    <row r="150" spans="1:6" x14ac:dyDescent="0.25">
      <c r="A150" t="s">
        <v>6</v>
      </c>
      <c r="B150">
        <v>1999</v>
      </c>
      <c r="C150">
        <v>253621896644.37292</v>
      </c>
      <c r="D150">
        <v>48009977263.27977</v>
      </c>
      <c r="E150">
        <v>5321799</v>
      </c>
      <c r="F150" s="4">
        <v>1456</v>
      </c>
    </row>
    <row r="151" spans="1:6" x14ac:dyDescent="0.25">
      <c r="A151" t="s">
        <v>6</v>
      </c>
      <c r="B151">
        <v>2000</v>
      </c>
      <c r="C151">
        <v>263066798839.5712</v>
      </c>
      <c r="D151">
        <v>51864360602.741615</v>
      </c>
      <c r="E151">
        <v>5339616</v>
      </c>
      <c r="F151" s="4">
        <v>1466</v>
      </c>
    </row>
    <row r="152" spans="1:6" x14ac:dyDescent="0.25">
      <c r="A152" t="s">
        <v>6</v>
      </c>
      <c r="B152">
        <v>2001</v>
      </c>
      <c r="C152">
        <v>265566018347.45493</v>
      </c>
      <c r="D152">
        <v>51698532949.657867</v>
      </c>
      <c r="E152">
        <v>5358783</v>
      </c>
      <c r="F152" s="4">
        <v>1469</v>
      </c>
    </row>
    <row r="153" spans="1:6" x14ac:dyDescent="0.25">
      <c r="A153" t="s">
        <v>6</v>
      </c>
      <c r="B153">
        <v>2002</v>
      </c>
      <c r="C153">
        <v>266778406866.57898</v>
      </c>
      <c r="D153">
        <v>50459237993.726753</v>
      </c>
      <c r="E153">
        <v>5375931</v>
      </c>
      <c r="F153" s="4">
        <v>1463</v>
      </c>
    </row>
    <row r="154" spans="1:6" x14ac:dyDescent="0.25">
      <c r="A154" t="s">
        <v>6</v>
      </c>
      <c r="B154">
        <v>2003</v>
      </c>
      <c r="C154">
        <v>267955142394.95648</v>
      </c>
      <c r="D154">
        <v>51419320551.641045</v>
      </c>
      <c r="E154">
        <v>5390574</v>
      </c>
      <c r="F154" s="4">
        <v>1458</v>
      </c>
    </row>
    <row r="155" spans="1:6" x14ac:dyDescent="0.25">
      <c r="A155" t="s">
        <v>6</v>
      </c>
      <c r="B155">
        <v>2004</v>
      </c>
      <c r="C155">
        <v>275394519939.12445</v>
      </c>
      <c r="D155">
        <v>53259366989.62281</v>
      </c>
      <c r="E155">
        <v>5404523</v>
      </c>
      <c r="F155" s="4">
        <v>1458</v>
      </c>
    </row>
    <row r="156" spans="1:6" x14ac:dyDescent="0.25">
      <c r="A156" t="s">
        <v>6</v>
      </c>
      <c r="B156">
        <v>2005</v>
      </c>
      <c r="C156">
        <v>281892753356.4823</v>
      </c>
      <c r="D156">
        <v>56504800606.276054</v>
      </c>
      <c r="E156">
        <v>5419432</v>
      </c>
      <c r="F156" s="4">
        <v>1451</v>
      </c>
    </row>
    <row r="157" spans="1:6" x14ac:dyDescent="0.25">
      <c r="A157" t="s">
        <v>6</v>
      </c>
      <c r="B157">
        <v>2006</v>
      </c>
      <c r="C157">
        <v>292651155607.72955</v>
      </c>
      <c r="D157">
        <v>64175047578.179657</v>
      </c>
      <c r="E157">
        <v>5437272</v>
      </c>
      <c r="F157" s="4">
        <v>1456</v>
      </c>
    </row>
    <row r="158" spans="1:6" x14ac:dyDescent="0.25">
      <c r="A158" t="s">
        <v>6</v>
      </c>
      <c r="B158">
        <v>2007</v>
      </c>
      <c r="C158">
        <v>295540131107.44751</v>
      </c>
      <c r="D158">
        <v>64622299609.970978</v>
      </c>
      <c r="E158">
        <v>5461438</v>
      </c>
      <c r="F158" s="4">
        <v>1433</v>
      </c>
    </row>
    <row r="159" spans="1:6" x14ac:dyDescent="0.25">
      <c r="A159" t="s">
        <v>6</v>
      </c>
      <c r="B159">
        <v>2008</v>
      </c>
      <c r="C159">
        <v>294307201429.91187</v>
      </c>
      <c r="D159">
        <v>63081522179.495972</v>
      </c>
      <c r="E159">
        <v>5493621</v>
      </c>
      <c r="F159" s="4">
        <v>1430</v>
      </c>
    </row>
    <row r="160" spans="1:6" x14ac:dyDescent="0.25">
      <c r="A160" t="s">
        <v>6</v>
      </c>
      <c r="B160">
        <v>2009</v>
      </c>
      <c r="C160">
        <v>279666951279.328</v>
      </c>
      <c r="D160">
        <v>54709912790.079399</v>
      </c>
      <c r="E160">
        <v>5523095</v>
      </c>
      <c r="F160" s="4">
        <v>1417</v>
      </c>
    </row>
    <row r="161" spans="1:6" x14ac:dyDescent="0.25">
      <c r="A161" t="s">
        <v>6</v>
      </c>
      <c r="B161">
        <v>2010</v>
      </c>
      <c r="C161">
        <v>284093791119.24023</v>
      </c>
      <c r="D161">
        <v>51245724657.80864</v>
      </c>
      <c r="E161">
        <v>5547683</v>
      </c>
      <c r="F161" s="4">
        <v>1422</v>
      </c>
    </row>
    <row r="162" spans="1:6" x14ac:dyDescent="0.25">
      <c r="A162" t="s">
        <v>6</v>
      </c>
      <c r="B162">
        <v>2011</v>
      </c>
      <c r="C162">
        <v>287817703270.26099</v>
      </c>
      <c r="D162">
        <v>51769863158.597092</v>
      </c>
      <c r="E162">
        <v>5570572</v>
      </c>
      <c r="F162" s="4">
        <v>1437</v>
      </c>
    </row>
    <row r="163" spans="1:6" x14ac:dyDescent="0.25">
      <c r="A163" t="s">
        <v>6</v>
      </c>
      <c r="B163">
        <v>2012</v>
      </c>
      <c r="C163">
        <v>287802068095.36371</v>
      </c>
      <c r="D163">
        <v>53701741575.75045</v>
      </c>
      <c r="E163">
        <v>5591572</v>
      </c>
      <c r="F163" s="4">
        <v>1423</v>
      </c>
    </row>
    <row r="164" spans="1:6" x14ac:dyDescent="0.25">
      <c r="A164" t="s">
        <v>6</v>
      </c>
      <c r="B164">
        <v>2013</v>
      </c>
      <c r="C164">
        <v>291810211144.33691</v>
      </c>
      <c r="D164">
        <v>54676152066.916069</v>
      </c>
      <c r="E164">
        <v>5614932</v>
      </c>
      <c r="F164" s="4">
        <v>1426</v>
      </c>
    </row>
    <row r="165" spans="1:6" x14ac:dyDescent="0.25">
      <c r="A165" t="s">
        <v>6</v>
      </c>
      <c r="B165">
        <v>2014</v>
      </c>
      <c r="C165">
        <v>295539545041.06769</v>
      </c>
      <c r="D165">
        <v>57453279257.959534</v>
      </c>
      <c r="E165">
        <v>5643475</v>
      </c>
      <c r="F165" s="4">
        <v>1414</v>
      </c>
    </row>
    <row r="166" spans="1:6" x14ac:dyDescent="0.25">
      <c r="A166" t="s">
        <v>6</v>
      </c>
      <c r="B166">
        <v>2015</v>
      </c>
      <c r="C166">
        <v>301758922337.63733</v>
      </c>
      <c r="D166">
        <v>59757055661.030449</v>
      </c>
      <c r="E166">
        <v>5683483</v>
      </c>
      <c r="F166" s="4">
        <v>1407</v>
      </c>
    </row>
    <row r="167" spans="1:6" x14ac:dyDescent="0.25">
      <c r="A167" t="s">
        <v>6</v>
      </c>
      <c r="B167">
        <v>2016</v>
      </c>
      <c r="C167">
        <v>311032111245.33496</v>
      </c>
      <c r="D167">
        <v>64525226922.079109</v>
      </c>
      <c r="E167">
        <v>5728010</v>
      </c>
      <c r="F167" s="4">
        <v>1412</v>
      </c>
    </row>
    <row r="168" spans="1:6" x14ac:dyDescent="0.25">
      <c r="A168" t="s">
        <v>6</v>
      </c>
      <c r="B168">
        <v>2017</v>
      </c>
      <c r="C168">
        <v>320538736946.8797</v>
      </c>
      <c r="D168">
        <v>67377544660.893959</v>
      </c>
      <c r="E168">
        <v>5764980</v>
      </c>
      <c r="F168" s="4">
        <v>1404</v>
      </c>
    </row>
    <row r="169" spans="1:6" x14ac:dyDescent="0.25">
      <c r="A169" t="s">
        <v>6</v>
      </c>
      <c r="B169">
        <v>2018</v>
      </c>
      <c r="C169">
        <v>326500781458.7641</v>
      </c>
      <c r="D169">
        <v>70089207657.642807</v>
      </c>
      <c r="E169">
        <v>5793636</v>
      </c>
      <c r="F169" s="4">
        <v>1381</v>
      </c>
    </row>
    <row r="170" spans="1:6" x14ac:dyDescent="0.25">
      <c r="A170" t="s">
        <v>6</v>
      </c>
      <c r="B170">
        <v>2019</v>
      </c>
      <c r="C170">
        <v>332088518914.50958</v>
      </c>
      <c r="D170">
        <v>69522124448.0103</v>
      </c>
      <c r="E170">
        <v>5814422</v>
      </c>
      <c r="F170" s="4">
        <v>1371</v>
      </c>
    </row>
    <row r="171" spans="1:6" x14ac:dyDescent="0.25">
      <c r="A171" t="s">
        <v>6</v>
      </c>
      <c r="B171">
        <v>2020</v>
      </c>
      <c r="C171">
        <v>326176991303.12958</v>
      </c>
      <c r="D171">
        <v>72512111750.810699</v>
      </c>
      <c r="E171">
        <v>5831404</v>
      </c>
      <c r="F171" s="4">
        <v>1341</v>
      </c>
    </row>
    <row r="172" spans="1:6" x14ac:dyDescent="0.25">
      <c r="A172" t="s">
        <v>6</v>
      </c>
      <c r="B172">
        <v>2021</v>
      </c>
      <c r="C172">
        <v>350255593023.12207</v>
      </c>
      <c r="D172">
        <v>79595968765.343277</v>
      </c>
      <c r="E172">
        <v>5856733</v>
      </c>
      <c r="F172" s="4">
        <v>1390</v>
      </c>
    </row>
    <row r="173" spans="1:6" x14ac:dyDescent="0.25">
      <c r="A173" t="s">
        <v>6</v>
      </c>
      <c r="B173">
        <v>2022</v>
      </c>
      <c r="C173">
        <v>355650135472.96265</v>
      </c>
      <c r="D173">
        <v>81813885031.749863</v>
      </c>
      <c r="E173">
        <v>5903037</v>
      </c>
      <c r="F173" s="4">
        <v>1394</v>
      </c>
    </row>
    <row r="174" spans="1:6" x14ac:dyDescent="0.25">
      <c r="A174" t="s">
        <v>7</v>
      </c>
      <c r="B174">
        <v>1980</v>
      </c>
      <c r="C174">
        <v>1274121102921.8467</v>
      </c>
      <c r="D174">
        <v>296222294994.34943</v>
      </c>
      <c r="E174">
        <v>55274184</v>
      </c>
      <c r="F174" s="4">
        <v>1806</v>
      </c>
    </row>
    <row r="175" spans="1:6" x14ac:dyDescent="0.25">
      <c r="A175" t="s">
        <v>7</v>
      </c>
      <c r="B175">
        <v>1981</v>
      </c>
      <c r="C175">
        <v>1289261671159.1201</v>
      </c>
      <c r="D175">
        <v>292970750969.51941</v>
      </c>
      <c r="E175">
        <v>55603353</v>
      </c>
      <c r="F175" s="4">
        <v>1786</v>
      </c>
    </row>
    <row r="176" spans="1:6" x14ac:dyDescent="0.25">
      <c r="A176" t="s">
        <v>7</v>
      </c>
      <c r="B176">
        <v>1982</v>
      </c>
      <c r="C176">
        <v>1320752051309.4915</v>
      </c>
      <c r="D176">
        <v>290482244478.36865</v>
      </c>
      <c r="E176">
        <v>55806789</v>
      </c>
      <c r="F176" s="4">
        <v>1714</v>
      </c>
    </row>
    <row r="177" spans="1:6" x14ac:dyDescent="0.25">
      <c r="A177" t="s">
        <v>7</v>
      </c>
      <c r="B177">
        <v>1983</v>
      </c>
      <c r="C177">
        <v>1337420703941.9685</v>
      </c>
      <c r="D177">
        <v>280674373537.33466</v>
      </c>
      <c r="E177">
        <v>56108330</v>
      </c>
      <c r="F177" s="4">
        <v>1696</v>
      </c>
    </row>
    <row r="178" spans="1:6" x14ac:dyDescent="0.25">
      <c r="A178" t="s">
        <v>7</v>
      </c>
      <c r="B178">
        <v>1984</v>
      </c>
      <c r="C178">
        <v>1358946108345.0193</v>
      </c>
      <c r="D178">
        <v>277453835959.74597</v>
      </c>
      <c r="E178">
        <v>56383085</v>
      </c>
      <c r="F178" s="4">
        <v>1690</v>
      </c>
    </row>
    <row r="179" spans="1:6" x14ac:dyDescent="0.25">
      <c r="A179" t="s">
        <v>7</v>
      </c>
      <c r="B179">
        <v>1985</v>
      </c>
      <c r="C179">
        <v>1380268983374.5283</v>
      </c>
      <c r="D179">
        <v>282837371136.63385</v>
      </c>
      <c r="E179">
        <v>56665619</v>
      </c>
      <c r="F179" s="4">
        <v>1654</v>
      </c>
    </row>
    <row r="180" spans="1:6" x14ac:dyDescent="0.25">
      <c r="A180" t="s">
        <v>7</v>
      </c>
      <c r="B180">
        <v>1986</v>
      </c>
      <c r="C180">
        <v>1413251001531.1592</v>
      </c>
      <c r="D180">
        <v>294505280525.10449</v>
      </c>
      <c r="E180">
        <v>56956002</v>
      </c>
      <c r="F180" s="4">
        <v>1648</v>
      </c>
    </row>
    <row r="181" spans="1:6" x14ac:dyDescent="0.25">
      <c r="A181" t="s">
        <v>7</v>
      </c>
      <c r="B181">
        <v>1987</v>
      </c>
      <c r="C181">
        <v>1449327711875.2722</v>
      </c>
      <c r="D181">
        <v>309611916529.64392</v>
      </c>
      <c r="E181">
        <v>57266167</v>
      </c>
      <c r="F181" s="4">
        <v>1659</v>
      </c>
    </row>
    <row r="182" spans="1:6" x14ac:dyDescent="0.25">
      <c r="A182" t="s">
        <v>7</v>
      </c>
      <c r="B182">
        <v>1988</v>
      </c>
      <c r="C182">
        <v>1519101594661.875</v>
      </c>
      <c r="D182">
        <v>336146244615.24347</v>
      </c>
      <c r="E182">
        <v>57598186</v>
      </c>
      <c r="F182" s="4">
        <v>1667</v>
      </c>
    </row>
    <row r="183" spans="1:6" x14ac:dyDescent="0.25">
      <c r="A183" t="s">
        <v>7</v>
      </c>
      <c r="B183">
        <v>1989</v>
      </c>
      <c r="C183">
        <v>1586020592048.6365</v>
      </c>
      <c r="D183">
        <v>360392298891.55048</v>
      </c>
      <c r="E183">
        <v>57943062</v>
      </c>
      <c r="F183" s="4">
        <v>1651</v>
      </c>
    </row>
    <row r="184" spans="1:6" x14ac:dyDescent="0.25">
      <c r="A184" t="s">
        <v>7</v>
      </c>
      <c r="B184">
        <v>1990</v>
      </c>
      <c r="C184">
        <v>1630899061497.0005</v>
      </c>
      <c r="D184">
        <v>376114667950.8454</v>
      </c>
      <c r="E184">
        <v>58261012</v>
      </c>
      <c r="F184" s="4">
        <v>1645</v>
      </c>
    </row>
    <row r="185" spans="1:6" x14ac:dyDescent="0.25">
      <c r="A185" t="s">
        <v>7</v>
      </c>
      <c r="B185">
        <v>1991</v>
      </c>
      <c r="C185">
        <v>1651067777946.6785</v>
      </c>
      <c r="D185">
        <v>374185936231.8114</v>
      </c>
      <c r="E185">
        <v>58554242</v>
      </c>
      <c r="F185" s="4">
        <v>1638</v>
      </c>
    </row>
    <row r="186" spans="1:6" x14ac:dyDescent="0.25">
      <c r="A186" t="s">
        <v>7</v>
      </c>
      <c r="B186">
        <v>1992</v>
      </c>
      <c r="C186">
        <v>1676098974581.9846</v>
      </c>
      <c r="D186">
        <v>366351791086.06494</v>
      </c>
      <c r="E186">
        <v>58846584</v>
      </c>
      <c r="F186" s="4">
        <v>1635</v>
      </c>
    </row>
    <row r="187" spans="1:6" x14ac:dyDescent="0.25">
      <c r="A187" t="s">
        <v>7</v>
      </c>
      <c r="B187">
        <v>1993</v>
      </c>
      <c r="C187">
        <v>1670081815454.98</v>
      </c>
      <c r="D187">
        <v>345537990527.62274</v>
      </c>
      <c r="E187">
        <v>59103094</v>
      </c>
      <c r="F187" s="4">
        <v>1627</v>
      </c>
    </row>
    <row r="188" spans="1:6" x14ac:dyDescent="0.25">
      <c r="A188" t="s">
        <v>7</v>
      </c>
      <c r="B188">
        <v>1994</v>
      </c>
      <c r="C188">
        <v>1709890902753.8721</v>
      </c>
      <c r="D188">
        <v>350318320159.80316</v>
      </c>
      <c r="E188">
        <v>59324863</v>
      </c>
      <c r="F188" s="4">
        <v>1623</v>
      </c>
    </row>
    <row r="189" spans="1:6" x14ac:dyDescent="0.25">
      <c r="A189" t="s">
        <v>7</v>
      </c>
      <c r="B189">
        <v>1995</v>
      </c>
      <c r="C189">
        <v>1749300344619.074</v>
      </c>
      <c r="D189">
        <v>355023067554.84851</v>
      </c>
      <c r="E189">
        <v>59541294</v>
      </c>
      <c r="F189" s="4">
        <v>1601</v>
      </c>
    </row>
    <row r="190" spans="1:6" x14ac:dyDescent="0.25">
      <c r="A190" t="s">
        <v>7</v>
      </c>
      <c r="B190">
        <v>1996</v>
      </c>
      <c r="C190">
        <v>1773739467452.5044</v>
      </c>
      <c r="D190">
        <v>356163915308.53058</v>
      </c>
      <c r="E190">
        <v>59754504</v>
      </c>
      <c r="F190" s="4">
        <v>1597</v>
      </c>
    </row>
    <row r="191" spans="1:6" x14ac:dyDescent="0.25">
      <c r="A191" t="s">
        <v>7</v>
      </c>
      <c r="B191">
        <v>1997</v>
      </c>
      <c r="C191">
        <v>1818562957208.5994</v>
      </c>
      <c r="D191">
        <v>356942298515.00006</v>
      </c>
      <c r="E191">
        <v>59968066</v>
      </c>
      <c r="F191" s="4">
        <v>1596</v>
      </c>
    </row>
    <row r="192" spans="1:6" x14ac:dyDescent="0.25">
      <c r="A192" t="s">
        <v>7</v>
      </c>
      <c r="B192">
        <v>1998</v>
      </c>
      <c r="C192">
        <v>1881350559081.6748</v>
      </c>
      <c r="D192">
        <v>379589620162.79303</v>
      </c>
      <c r="E192">
        <v>60190684</v>
      </c>
      <c r="F192" s="4">
        <v>1585</v>
      </c>
    </row>
    <row r="193" spans="1:6" x14ac:dyDescent="0.25">
      <c r="A193" t="s">
        <v>7</v>
      </c>
      <c r="B193">
        <v>1999</v>
      </c>
      <c r="C193">
        <v>1945303460153.5156</v>
      </c>
      <c r="D193">
        <v>408453145331.14307</v>
      </c>
      <c r="E193">
        <v>60501986</v>
      </c>
      <c r="F193" s="4">
        <v>1578</v>
      </c>
    </row>
    <row r="194" spans="1:6" x14ac:dyDescent="0.25">
      <c r="A194" t="s">
        <v>7</v>
      </c>
      <c r="B194">
        <v>2000</v>
      </c>
      <c r="C194">
        <v>2025858476369.7827</v>
      </c>
      <c r="D194">
        <v>435479705482.12976</v>
      </c>
      <c r="E194">
        <v>60918661</v>
      </c>
      <c r="F194" s="4">
        <v>1558</v>
      </c>
    </row>
    <row r="195" spans="1:6" x14ac:dyDescent="0.25">
      <c r="A195" t="s">
        <v>7</v>
      </c>
      <c r="B195">
        <v>2001</v>
      </c>
      <c r="C195">
        <v>2064338989662.438</v>
      </c>
      <c r="D195">
        <v>444517024158.67627</v>
      </c>
      <c r="E195">
        <v>61364377</v>
      </c>
      <c r="F195" s="4">
        <v>1538</v>
      </c>
    </row>
    <row r="196" spans="1:6" x14ac:dyDescent="0.25">
      <c r="A196" t="s">
        <v>7</v>
      </c>
      <c r="B196">
        <v>2002</v>
      </c>
      <c r="C196">
        <v>2086380974391.2607</v>
      </c>
      <c r="D196">
        <v>440271309984.30481</v>
      </c>
      <c r="E196">
        <v>61812142</v>
      </c>
      <c r="F196" s="4">
        <v>1504</v>
      </c>
    </row>
    <row r="197" spans="1:6" x14ac:dyDescent="0.25">
      <c r="A197" t="s">
        <v>7</v>
      </c>
      <c r="B197">
        <v>2003</v>
      </c>
      <c r="C197">
        <v>2106573536491.9841</v>
      </c>
      <c r="D197">
        <v>450653676714.4884</v>
      </c>
      <c r="E197">
        <v>62249855</v>
      </c>
      <c r="F197" s="4">
        <v>1507</v>
      </c>
    </row>
    <row r="198" spans="1:6" x14ac:dyDescent="0.25">
      <c r="A198" t="s">
        <v>7</v>
      </c>
      <c r="B198">
        <v>2004</v>
      </c>
      <c r="C198">
        <v>2166995343999.6118</v>
      </c>
      <c r="D198">
        <v>466890095300.65167</v>
      </c>
      <c r="E198">
        <v>62707588</v>
      </c>
      <c r="F198" s="4">
        <v>1531</v>
      </c>
    </row>
    <row r="199" spans="1:6" x14ac:dyDescent="0.25">
      <c r="A199" t="s">
        <v>7</v>
      </c>
      <c r="B199">
        <v>2005</v>
      </c>
      <c r="C199">
        <v>2207920477001.0288</v>
      </c>
      <c r="D199">
        <v>480743239145.77545</v>
      </c>
      <c r="E199">
        <v>63180854</v>
      </c>
      <c r="F199" s="4">
        <v>1532</v>
      </c>
    </row>
    <row r="200" spans="1:6" x14ac:dyDescent="0.25">
      <c r="A200" t="s">
        <v>7</v>
      </c>
      <c r="B200">
        <v>2006</v>
      </c>
      <c r="C200">
        <v>2267844863251.48</v>
      </c>
      <c r="D200">
        <v>501771679410.96057</v>
      </c>
      <c r="E200">
        <v>63622342</v>
      </c>
      <c r="F200" s="4">
        <v>1515</v>
      </c>
    </row>
    <row r="201" spans="1:6" x14ac:dyDescent="0.25">
      <c r="A201" t="s">
        <v>7</v>
      </c>
      <c r="B201">
        <v>2007</v>
      </c>
      <c r="C201">
        <v>2325232266173.5635</v>
      </c>
      <c r="D201">
        <v>529176468068.30969</v>
      </c>
      <c r="E201">
        <v>64016890</v>
      </c>
      <c r="F201" s="4">
        <v>1537</v>
      </c>
    </row>
    <row r="202" spans="1:6" x14ac:dyDescent="0.25">
      <c r="A202" t="s">
        <v>7</v>
      </c>
      <c r="B202">
        <v>2008</v>
      </c>
      <c r="C202">
        <v>2334072134826.5815</v>
      </c>
      <c r="D202">
        <v>535559497947.10114</v>
      </c>
      <c r="E202">
        <v>64375116</v>
      </c>
      <c r="F202" s="4">
        <v>1543</v>
      </c>
    </row>
    <row r="203" spans="1:6" x14ac:dyDescent="0.25">
      <c r="A203" t="s">
        <v>7</v>
      </c>
      <c r="B203">
        <v>2009</v>
      </c>
      <c r="C203">
        <v>2268145065263.8096</v>
      </c>
      <c r="D203">
        <v>486133350405.56604</v>
      </c>
      <c r="E203">
        <v>64706436</v>
      </c>
      <c r="F203" s="4">
        <v>1531</v>
      </c>
    </row>
    <row r="204" spans="1:6" x14ac:dyDescent="0.25">
      <c r="A204" t="s">
        <v>7</v>
      </c>
      <c r="B204">
        <v>2010</v>
      </c>
      <c r="C204">
        <v>2313515331848.5073</v>
      </c>
      <c r="D204">
        <v>494703701734.75787</v>
      </c>
      <c r="E204">
        <v>65026211</v>
      </c>
      <c r="F204" s="4">
        <v>1540</v>
      </c>
    </row>
    <row r="205" spans="1:6" x14ac:dyDescent="0.25">
      <c r="A205" t="s">
        <v>7</v>
      </c>
      <c r="B205">
        <v>2011</v>
      </c>
      <c r="C205">
        <v>2369909039492.5664</v>
      </c>
      <c r="D205">
        <v>505096717569.66571</v>
      </c>
      <c r="E205">
        <v>65340830</v>
      </c>
      <c r="F205" s="4">
        <v>1546</v>
      </c>
    </row>
    <row r="206" spans="1:6" x14ac:dyDescent="0.25">
      <c r="A206" t="s">
        <v>7</v>
      </c>
      <c r="B206">
        <v>2012</v>
      </c>
      <c r="C206">
        <v>2374265768198.2349</v>
      </c>
      <c r="D206">
        <v>503827252862.6767</v>
      </c>
      <c r="E206">
        <v>65657659</v>
      </c>
      <c r="F206" s="4">
        <v>1541</v>
      </c>
    </row>
    <row r="207" spans="1:6" x14ac:dyDescent="0.25">
      <c r="A207" t="s">
        <v>7</v>
      </c>
      <c r="B207">
        <v>2013</v>
      </c>
      <c r="C207">
        <v>2392826743884.2402</v>
      </c>
      <c r="D207">
        <v>501069402131.71069</v>
      </c>
      <c r="E207">
        <v>65997932</v>
      </c>
      <c r="F207" s="4">
        <v>1526</v>
      </c>
    </row>
    <row r="208" spans="1:6" x14ac:dyDescent="0.25">
      <c r="A208" t="s">
        <v>7</v>
      </c>
      <c r="B208">
        <v>2014</v>
      </c>
      <c r="C208">
        <v>2416703157283.958</v>
      </c>
      <c r="D208">
        <v>499083148826.37512</v>
      </c>
      <c r="E208">
        <v>66312067</v>
      </c>
      <c r="F208" s="4">
        <v>1518</v>
      </c>
    </row>
    <row r="209" spans="1:6" x14ac:dyDescent="0.25">
      <c r="A209" t="s">
        <v>7</v>
      </c>
      <c r="B209">
        <v>2015</v>
      </c>
      <c r="C209">
        <v>2442483452642.4985</v>
      </c>
      <c r="D209">
        <v>502171414715.19507</v>
      </c>
      <c r="E209">
        <v>66548272</v>
      </c>
      <c r="F209" s="4">
        <v>1519</v>
      </c>
    </row>
    <row r="210" spans="1:6" x14ac:dyDescent="0.25">
      <c r="A210" t="s">
        <v>7</v>
      </c>
      <c r="B210">
        <v>2016</v>
      </c>
      <c r="C210">
        <v>2463489569508.3242</v>
      </c>
      <c r="D210">
        <v>516025915494.58411</v>
      </c>
      <c r="E210">
        <v>66724104</v>
      </c>
      <c r="F210" s="4">
        <v>1522</v>
      </c>
    </row>
    <row r="211" spans="1:6" x14ac:dyDescent="0.25">
      <c r="A211" t="s">
        <v>7</v>
      </c>
      <c r="B211">
        <v>2017</v>
      </c>
      <c r="C211">
        <v>2514819204022.0933</v>
      </c>
      <c r="D211">
        <v>535110174073.73334</v>
      </c>
      <c r="E211">
        <v>66918020</v>
      </c>
      <c r="F211" s="4">
        <v>1508</v>
      </c>
    </row>
    <row r="212" spans="1:6" x14ac:dyDescent="0.25">
      <c r="A212" t="s">
        <v>7</v>
      </c>
      <c r="B212">
        <v>2018</v>
      </c>
      <c r="C212">
        <v>2556210832827.8867</v>
      </c>
      <c r="D212">
        <v>553850863110.19739</v>
      </c>
      <c r="E212">
        <v>67158348</v>
      </c>
      <c r="F212" s="4">
        <v>1514</v>
      </c>
    </row>
    <row r="213" spans="1:6" x14ac:dyDescent="0.25">
      <c r="A213" t="s">
        <v>7</v>
      </c>
      <c r="B213">
        <v>2019</v>
      </c>
      <c r="C213">
        <v>2608036639287.3174</v>
      </c>
      <c r="D213">
        <v>576614587083.8844</v>
      </c>
      <c r="E213">
        <v>67382061</v>
      </c>
      <c r="F213" s="4">
        <v>1518</v>
      </c>
    </row>
    <row r="214" spans="1:6" x14ac:dyDescent="0.25">
      <c r="A214" t="s">
        <v>7</v>
      </c>
      <c r="B214">
        <v>2020</v>
      </c>
      <c r="C214">
        <v>2413981867221.7646</v>
      </c>
      <c r="D214">
        <v>543003094555.34772</v>
      </c>
      <c r="E214">
        <v>67601110</v>
      </c>
      <c r="F214" s="4">
        <v>1400</v>
      </c>
    </row>
    <row r="215" spans="1:6" x14ac:dyDescent="0.25">
      <c r="A215" t="s">
        <v>7</v>
      </c>
      <c r="B215">
        <v>2021</v>
      </c>
      <c r="C215">
        <v>2580120255345.6138</v>
      </c>
      <c r="D215">
        <v>595860974343.68909</v>
      </c>
      <c r="E215">
        <v>67842811</v>
      </c>
      <c r="F215" s="4">
        <v>1475</v>
      </c>
    </row>
    <row r="216" spans="1:6" x14ac:dyDescent="0.25">
      <c r="A216" t="s">
        <v>7</v>
      </c>
      <c r="B216">
        <v>2022</v>
      </c>
      <c r="C216">
        <v>2646451031159.2559</v>
      </c>
      <c r="D216">
        <v>595576284431.08362</v>
      </c>
      <c r="E216">
        <v>68065015</v>
      </c>
      <c r="F216" s="4">
        <v>1501</v>
      </c>
    </row>
    <row r="217" spans="1:6" x14ac:dyDescent="0.25">
      <c r="A217" t="s">
        <v>8</v>
      </c>
      <c r="B217">
        <v>1980</v>
      </c>
      <c r="C217">
        <v>1877146314061.1033</v>
      </c>
      <c r="D217">
        <v>426072913465.44067</v>
      </c>
      <c r="E217">
        <v>78288576</v>
      </c>
      <c r="F217" s="4">
        <v>1746</v>
      </c>
    </row>
    <row r="218" spans="1:6" x14ac:dyDescent="0.25">
      <c r="A218" t="s">
        <v>8</v>
      </c>
      <c r="B218">
        <v>1981</v>
      </c>
      <c r="C218">
        <v>1887080933535.7366</v>
      </c>
      <c r="D218">
        <v>406187348033.98871</v>
      </c>
      <c r="E218">
        <v>78407907</v>
      </c>
      <c r="F218" s="4">
        <v>1724</v>
      </c>
    </row>
    <row r="219" spans="1:6" x14ac:dyDescent="0.25">
      <c r="A219" t="s">
        <v>8</v>
      </c>
      <c r="B219">
        <v>1982</v>
      </c>
      <c r="C219">
        <v>1879629968652.3833</v>
      </c>
      <c r="D219">
        <v>387660069363.9848</v>
      </c>
      <c r="E219">
        <v>78333366</v>
      </c>
      <c r="F219" s="4">
        <v>1713</v>
      </c>
    </row>
    <row r="220" spans="1:6" x14ac:dyDescent="0.25">
      <c r="A220" t="s">
        <v>8</v>
      </c>
      <c r="B220">
        <v>1983</v>
      </c>
      <c r="C220">
        <v>1909185460396.6909</v>
      </c>
      <c r="D220">
        <v>399287147568.56763</v>
      </c>
      <c r="E220">
        <v>78128282</v>
      </c>
      <c r="F220" s="4">
        <v>1700</v>
      </c>
    </row>
    <row r="221" spans="1:6" x14ac:dyDescent="0.25">
      <c r="A221" t="s">
        <v>8</v>
      </c>
      <c r="B221">
        <v>1984</v>
      </c>
      <c r="C221">
        <v>1963080770242.179</v>
      </c>
      <c r="D221">
        <v>399884808877.3606</v>
      </c>
      <c r="E221">
        <v>77858685</v>
      </c>
      <c r="F221" s="4">
        <v>1689</v>
      </c>
    </row>
    <row r="222" spans="1:6" x14ac:dyDescent="0.25">
      <c r="A222" t="s">
        <v>8</v>
      </c>
      <c r="B222">
        <v>1985</v>
      </c>
      <c r="C222">
        <v>2008780019603.5889</v>
      </c>
      <c r="D222">
        <v>402601417904.66925</v>
      </c>
      <c r="E222">
        <v>77684873</v>
      </c>
      <c r="F222" s="4">
        <v>1666</v>
      </c>
    </row>
    <row r="223" spans="1:6" x14ac:dyDescent="0.25">
      <c r="A223" t="s">
        <v>8</v>
      </c>
      <c r="B223">
        <v>1986</v>
      </c>
      <c r="C223">
        <v>2054727633425.5657</v>
      </c>
      <c r="D223">
        <v>415423817617.32507</v>
      </c>
      <c r="E223">
        <v>77720436</v>
      </c>
      <c r="F223" s="4">
        <v>1647</v>
      </c>
    </row>
    <row r="224" spans="1:6" x14ac:dyDescent="0.25">
      <c r="A224" t="s">
        <v>8</v>
      </c>
      <c r="B224">
        <v>1987</v>
      </c>
      <c r="C224">
        <v>2083538029569.1482</v>
      </c>
      <c r="D224">
        <v>424062627001.38129</v>
      </c>
      <c r="E224">
        <v>77839920</v>
      </c>
      <c r="F224" s="4">
        <v>1624</v>
      </c>
    </row>
    <row r="225" spans="1:6" x14ac:dyDescent="0.25">
      <c r="A225" t="s">
        <v>8</v>
      </c>
      <c r="B225">
        <v>1988</v>
      </c>
      <c r="C225">
        <v>2160779694125.9871</v>
      </c>
      <c r="D225">
        <v>445469496594.76208</v>
      </c>
      <c r="E225">
        <v>78144619</v>
      </c>
      <c r="F225" s="4">
        <v>1619</v>
      </c>
    </row>
    <row r="226" spans="1:6" x14ac:dyDescent="0.25">
      <c r="A226" t="s">
        <v>8</v>
      </c>
      <c r="B226">
        <v>1989</v>
      </c>
      <c r="C226">
        <v>2244975592426.0205</v>
      </c>
      <c r="D226">
        <v>477688479436.73944</v>
      </c>
      <c r="E226">
        <v>78751283</v>
      </c>
      <c r="F226" s="4">
        <v>1596</v>
      </c>
    </row>
    <row r="227" spans="1:6" x14ac:dyDescent="0.25">
      <c r="A227" t="s">
        <v>8</v>
      </c>
      <c r="B227">
        <v>1990</v>
      </c>
      <c r="C227">
        <v>2362949197161.71</v>
      </c>
      <c r="D227">
        <v>515884002138.79559</v>
      </c>
      <c r="E227">
        <v>79433029</v>
      </c>
      <c r="F227" s="4">
        <v>1573</v>
      </c>
    </row>
    <row r="228" spans="1:6" x14ac:dyDescent="0.25">
      <c r="A228" t="s">
        <v>8</v>
      </c>
      <c r="B228">
        <v>1991</v>
      </c>
      <c r="C228">
        <v>2483654820949.2451</v>
      </c>
      <c r="D228">
        <v>543321751095.58661</v>
      </c>
      <c r="E228">
        <v>80013896</v>
      </c>
      <c r="F228" s="4">
        <v>1554.1</v>
      </c>
    </row>
    <row r="229" spans="1:6" x14ac:dyDescent="0.25">
      <c r="A229" t="s">
        <v>8</v>
      </c>
      <c r="B229">
        <v>1992</v>
      </c>
      <c r="C229">
        <v>2533680205307.8779</v>
      </c>
      <c r="D229">
        <v>565054616656.97803</v>
      </c>
      <c r="E229">
        <v>80624598</v>
      </c>
      <c r="F229" s="4">
        <v>1565.1</v>
      </c>
    </row>
    <row r="230" spans="1:6" x14ac:dyDescent="0.25">
      <c r="A230" t="s">
        <v>8</v>
      </c>
      <c r="B230">
        <v>1993</v>
      </c>
      <c r="C230">
        <v>2509019802333.0542</v>
      </c>
      <c r="D230">
        <v>540956271831.79993</v>
      </c>
      <c r="E230">
        <v>81156363</v>
      </c>
      <c r="F230" s="4">
        <v>1540.2</v>
      </c>
    </row>
    <row r="231" spans="1:6" x14ac:dyDescent="0.25">
      <c r="A231" t="s">
        <v>8</v>
      </c>
      <c r="B231">
        <v>1994</v>
      </c>
      <c r="C231">
        <v>2574193723450.5405</v>
      </c>
      <c r="D231">
        <v>560323658129.40466</v>
      </c>
      <c r="E231">
        <v>81438348</v>
      </c>
      <c r="F231" s="4">
        <v>1536.6</v>
      </c>
    </row>
    <row r="232" spans="1:6" x14ac:dyDescent="0.25">
      <c r="A232" t="s">
        <v>8</v>
      </c>
      <c r="B232">
        <v>1995</v>
      </c>
      <c r="C232">
        <v>2612945784475.6113</v>
      </c>
      <c r="D232">
        <v>559214832027.25891</v>
      </c>
      <c r="E232">
        <v>81678051</v>
      </c>
      <c r="F232" s="4">
        <v>1530.6</v>
      </c>
    </row>
    <row r="233" spans="1:6" x14ac:dyDescent="0.25">
      <c r="A233" t="s">
        <v>8</v>
      </c>
      <c r="B233">
        <v>1996</v>
      </c>
      <c r="C233">
        <v>2640072232962.6284</v>
      </c>
      <c r="D233">
        <v>556701515718.36084</v>
      </c>
      <c r="E233">
        <v>81914831</v>
      </c>
      <c r="F233" s="4">
        <v>1516.8</v>
      </c>
    </row>
    <row r="234" spans="1:6" x14ac:dyDescent="0.25">
      <c r="A234" t="s">
        <v>8</v>
      </c>
      <c r="B234">
        <v>1997</v>
      </c>
      <c r="C234">
        <v>2689040748598.2705</v>
      </c>
      <c r="D234">
        <v>559584440727.97412</v>
      </c>
      <c r="E234">
        <v>82034771</v>
      </c>
      <c r="F234" s="4">
        <v>1507.7</v>
      </c>
    </row>
    <row r="235" spans="1:6" x14ac:dyDescent="0.25">
      <c r="A235" t="s">
        <v>8</v>
      </c>
      <c r="B235">
        <v>1998</v>
      </c>
      <c r="C235">
        <v>2745407383018.2852</v>
      </c>
      <c r="D235">
        <v>582130447206.15955</v>
      </c>
      <c r="E235">
        <v>82047195</v>
      </c>
      <c r="F235" s="4">
        <v>1504.5</v>
      </c>
    </row>
    <row r="236" spans="1:6" x14ac:dyDescent="0.25">
      <c r="A236" t="s">
        <v>8</v>
      </c>
      <c r="B236">
        <v>1999</v>
      </c>
      <c r="C236">
        <v>2803887763760.3843</v>
      </c>
      <c r="D236">
        <v>607115856463.49548</v>
      </c>
      <c r="E236">
        <v>82100243</v>
      </c>
      <c r="F236" s="4">
        <v>1491.5</v>
      </c>
    </row>
    <row r="237" spans="1:6" x14ac:dyDescent="0.25">
      <c r="A237" t="s">
        <v>8</v>
      </c>
      <c r="B237">
        <v>2000</v>
      </c>
      <c r="C237">
        <v>2884562510841.2173</v>
      </c>
      <c r="D237">
        <v>619756404794.35217</v>
      </c>
      <c r="E237">
        <v>82211508</v>
      </c>
      <c r="F237" s="4">
        <v>1465.9</v>
      </c>
    </row>
    <row r="238" spans="1:6" x14ac:dyDescent="0.25">
      <c r="A238" t="s">
        <v>8</v>
      </c>
      <c r="B238">
        <v>2001</v>
      </c>
      <c r="C238">
        <v>2931769559373.6519</v>
      </c>
      <c r="D238">
        <v>603567627582.19958</v>
      </c>
      <c r="E238">
        <v>82349925</v>
      </c>
      <c r="F238" s="4">
        <v>1458.2</v>
      </c>
    </row>
    <row r="239" spans="1:6" x14ac:dyDescent="0.25">
      <c r="A239" t="s">
        <v>8</v>
      </c>
      <c r="B239">
        <v>2002</v>
      </c>
      <c r="C239">
        <v>2925076028983.8804</v>
      </c>
      <c r="D239">
        <v>566902650174.93823</v>
      </c>
      <c r="E239">
        <v>82488495</v>
      </c>
      <c r="F239" s="4">
        <v>1448.9</v>
      </c>
    </row>
    <row r="240" spans="1:6" x14ac:dyDescent="0.25">
      <c r="A240" t="s">
        <v>8</v>
      </c>
      <c r="B240">
        <v>2003</v>
      </c>
      <c r="C240">
        <v>2909575203020.5342</v>
      </c>
      <c r="D240">
        <v>557736407210.01404</v>
      </c>
      <c r="E240">
        <v>82534176</v>
      </c>
      <c r="F240" s="4">
        <v>1443.4</v>
      </c>
    </row>
    <row r="241" spans="1:6" x14ac:dyDescent="0.25">
      <c r="A241" t="s">
        <v>8</v>
      </c>
      <c r="B241">
        <v>2004</v>
      </c>
      <c r="C241">
        <v>2943395181897.3223</v>
      </c>
      <c r="D241">
        <v>555223080915.5</v>
      </c>
      <c r="E241">
        <v>82516260</v>
      </c>
      <c r="F241" s="4">
        <v>1442.6</v>
      </c>
    </row>
    <row r="242" spans="1:6" x14ac:dyDescent="0.25">
      <c r="A242" t="s">
        <v>8</v>
      </c>
      <c r="B242">
        <v>2005</v>
      </c>
      <c r="C242">
        <v>2969464751675.7329</v>
      </c>
      <c r="D242">
        <v>560175811098.67737</v>
      </c>
      <c r="E242">
        <v>82469422</v>
      </c>
      <c r="F242" s="4">
        <v>1432.4</v>
      </c>
    </row>
    <row r="243" spans="1:6" x14ac:dyDescent="0.25">
      <c r="A243" t="s">
        <v>8</v>
      </c>
      <c r="B243">
        <v>2006</v>
      </c>
      <c r="C243">
        <v>3083959477633.3545</v>
      </c>
      <c r="D243">
        <v>602384887950.30627</v>
      </c>
      <c r="E243">
        <v>82376451</v>
      </c>
      <c r="F243" s="4">
        <v>1453.2</v>
      </c>
    </row>
    <row r="244" spans="1:6" x14ac:dyDescent="0.25">
      <c r="A244" t="s">
        <v>8</v>
      </c>
      <c r="B244">
        <v>2007</v>
      </c>
      <c r="C244">
        <v>3173089212221.5513</v>
      </c>
      <c r="D244">
        <v>624191678136.57422</v>
      </c>
      <c r="E244">
        <v>82266372</v>
      </c>
      <c r="F244" s="4">
        <v>1454.1</v>
      </c>
    </row>
    <row r="245" spans="1:6" x14ac:dyDescent="0.25">
      <c r="A245" t="s">
        <v>8</v>
      </c>
      <c r="B245">
        <v>2008</v>
      </c>
      <c r="C245">
        <v>3201977117826.1597</v>
      </c>
      <c r="D245">
        <v>634023223863.66833</v>
      </c>
      <c r="E245">
        <v>82110097</v>
      </c>
      <c r="F245" s="4">
        <v>1447.3</v>
      </c>
    </row>
    <row r="246" spans="1:6" x14ac:dyDescent="0.25">
      <c r="A246" t="s">
        <v>8</v>
      </c>
      <c r="B246">
        <v>2009</v>
      </c>
      <c r="C246">
        <v>3024422218182.6489</v>
      </c>
      <c r="D246">
        <v>572742433695.14453</v>
      </c>
      <c r="E246">
        <v>81902307</v>
      </c>
      <c r="F246" s="4">
        <v>1405</v>
      </c>
    </row>
    <row r="247" spans="1:6" x14ac:dyDescent="0.25">
      <c r="A247" t="s">
        <v>8</v>
      </c>
      <c r="B247">
        <v>2010</v>
      </c>
      <c r="C247">
        <v>3149837977159.8262</v>
      </c>
      <c r="D247">
        <v>605415661100.15979</v>
      </c>
      <c r="E247">
        <v>81776930</v>
      </c>
      <c r="F247" s="4">
        <v>1425.7</v>
      </c>
    </row>
    <row r="248" spans="1:6" x14ac:dyDescent="0.25">
      <c r="A248" t="s">
        <v>8</v>
      </c>
      <c r="B248">
        <v>2011</v>
      </c>
      <c r="C248">
        <v>3268207907666.6367</v>
      </c>
      <c r="D248">
        <v>650507674056.53088</v>
      </c>
      <c r="E248">
        <v>80274983</v>
      </c>
      <c r="F248" s="4">
        <v>1426.9</v>
      </c>
    </row>
    <row r="249" spans="1:6" x14ac:dyDescent="0.25">
      <c r="A249" t="s">
        <v>8</v>
      </c>
      <c r="B249">
        <v>2012</v>
      </c>
      <c r="C249">
        <v>3283708733629.9829</v>
      </c>
      <c r="D249">
        <v>649103173864.1626</v>
      </c>
      <c r="E249">
        <v>80425823</v>
      </c>
      <c r="F249" s="4">
        <v>1408</v>
      </c>
    </row>
    <row r="250" spans="1:6" x14ac:dyDescent="0.25">
      <c r="A250" t="s">
        <v>8</v>
      </c>
      <c r="B250">
        <v>2013</v>
      </c>
      <c r="C250">
        <v>3296391223767.1309</v>
      </c>
      <c r="D250">
        <v>641637117386.47119</v>
      </c>
      <c r="E250">
        <v>80645605</v>
      </c>
      <c r="F250" s="4">
        <v>1396.5</v>
      </c>
    </row>
    <row r="251" spans="1:6" x14ac:dyDescent="0.25">
      <c r="A251" t="s">
        <v>8</v>
      </c>
      <c r="B251">
        <v>2014</v>
      </c>
      <c r="C251">
        <v>3367906396055.5122</v>
      </c>
      <c r="D251">
        <v>664700569610.48328</v>
      </c>
      <c r="E251">
        <v>80982500</v>
      </c>
      <c r="F251" s="4">
        <v>1400.4</v>
      </c>
    </row>
    <row r="252" spans="1:6" x14ac:dyDescent="0.25">
      <c r="A252" t="s">
        <v>8</v>
      </c>
      <c r="B252">
        <v>2015</v>
      </c>
      <c r="C252">
        <v>3423568450957.0293</v>
      </c>
      <c r="D252">
        <v>676380138869.92151</v>
      </c>
      <c r="E252">
        <v>81686611</v>
      </c>
      <c r="F252" s="4">
        <v>1401</v>
      </c>
    </row>
    <row r="253" spans="1:6" x14ac:dyDescent="0.25">
      <c r="A253" t="s">
        <v>8</v>
      </c>
      <c r="B253">
        <v>2016</v>
      </c>
      <c r="C253">
        <v>3502129441730.1626</v>
      </c>
      <c r="D253">
        <v>702030842013.32422</v>
      </c>
      <c r="E253">
        <v>82348669</v>
      </c>
      <c r="F253" s="4">
        <v>1395.6</v>
      </c>
    </row>
    <row r="254" spans="1:6" x14ac:dyDescent="0.25">
      <c r="A254" t="s">
        <v>8</v>
      </c>
      <c r="B254">
        <v>2017</v>
      </c>
      <c r="C254">
        <v>3597248136065.7354</v>
      </c>
      <c r="D254">
        <v>720585087394.13477</v>
      </c>
      <c r="E254">
        <v>82657002</v>
      </c>
      <c r="F254" s="4">
        <v>1389.1</v>
      </c>
    </row>
    <row r="255" spans="1:6" x14ac:dyDescent="0.25">
      <c r="A255" t="s">
        <v>8</v>
      </c>
      <c r="B255">
        <v>2018</v>
      </c>
      <c r="C255">
        <v>3637409365003.9058</v>
      </c>
      <c r="D255">
        <v>746605399238.25281</v>
      </c>
      <c r="E255">
        <v>82905782</v>
      </c>
      <c r="F255" s="4">
        <v>1380.7</v>
      </c>
    </row>
    <row r="256" spans="1:6" x14ac:dyDescent="0.25">
      <c r="A256" t="s">
        <v>8</v>
      </c>
      <c r="B256">
        <v>2019</v>
      </c>
      <c r="C256">
        <v>3673343090202.7778</v>
      </c>
      <c r="D256">
        <v>761759272754.1106</v>
      </c>
      <c r="E256">
        <v>83092962</v>
      </c>
      <c r="F256" s="4">
        <v>1373.1</v>
      </c>
    </row>
    <row r="257" spans="1:6" x14ac:dyDescent="0.25">
      <c r="A257" t="s">
        <v>8</v>
      </c>
      <c r="B257">
        <v>2020</v>
      </c>
      <c r="C257">
        <v>3522914640155.7969</v>
      </c>
      <c r="D257">
        <v>739213266275.92505</v>
      </c>
      <c r="E257">
        <v>83160871</v>
      </c>
      <c r="F257" s="4">
        <v>1315.9</v>
      </c>
    </row>
    <row r="258" spans="1:6" x14ac:dyDescent="0.25">
      <c r="A258" t="s">
        <v>8</v>
      </c>
      <c r="B258">
        <v>2021</v>
      </c>
      <c r="C258">
        <v>3652205602572.6504</v>
      </c>
      <c r="D258">
        <v>743944234789.1145</v>
      </c>
      <c r="E258">
        <v>83196078</v>
      </c>
      <c r="F258" s="4">
        <v>1347.6</v>
      </c>
    </row>
    <row r="259" spans="1:6" x14ac:dyDescent="0.25">
      <c r="A259" t="s">
        <v>8</v>
      </c>
      <c r="B259">
        <v>2022</v>
      </c>
      <c r="C259">
        <v>3702230996916.8989</v>
      </c>
      <c r="D259">
        <v>742465799986.25354</v>
      </c>
      <c r="E259">
        <v>83797985</v>
      </c>
      <c r="F259" s="4">
        <v>1346.8</v>
      </c>
    </row>
    <row r="260" spans="1:6" x14ac:dyDescent="0.25">
      <c r="A260" t="s">
        <v>9</v>
      </c>
      <c r="B260">
        <v>1980</v>
      </c>
      <c r="C260">
        <v>147019219831.10971</v>
      </c>
      <c r="D260">
        <v>34068361089.560925</v>
      </c>
      <c r="E260">
        <v>9642505</v>
      </c>
      <c r="F260" s="3" t="s">
        <v>28</v>
      </c>
    </row>
    <row r="261" spans="1:6" x14ac:dyDescent="0.25">
      <c r="A261" t="s">
        <v>9</v>
      </c>
      <c r="B261">
        <v>1981</v>
      </c>
      <c r="C261">
        <v>144734951363.35229</v>
      </c>
      <c r="D261">
        <v>30747565708.149597</v>
      </c>
      <c r="E261">
        <v>9729350</v>
      </c>
      <c r="F261" s="3" t="s">
        <v>28</v>
      </c>
    </row>
    <row r="262" spans="1:6" x14ac:dyDescent="0.25">
      <c r="A262" t="s">
        <v>9</v>
      </c>
      <c r="B262">
        <v>1982</v>
      </c>
      <c r="C262">
        <v>143095613891.58002</v>
      </c>
      <c r="D262">
        <v>29755961861.924206</v>
      </c>
      <c r="E262">
        <v>9789513</v>
      </c>
      <c r="F262" s="3" t="s">
        <v>28</v>
      </c>
    </row>
    <row r="263" spans="1:6" x14ac:dyDescent="0.25">
      <c r="A263" t="s">
        <v>9</v>
      </c>
      <c r="B263">
        <v>1983</v>
      </c>
      <c r="C263">
        <v>141552152757.22531</v>
      </c>
      <c r="D263">
        <v>31647766772.932407</v>
      </c>
      <c r="E263">
        <v>9846627</v>
      </c>
      <c r="F263" s="4">
        <v>2072</v>
      </c>
    </row>
    <row r="264" spans="1:6" x14ac:dyDescent="0.25">
      <c r="A264" t="s">
        <v>9</v>
      </c>
      <c r="B264">
        <v>1984</v>
      </c>
      <c r="C264">
        <v>144398173149.07062</v>
      </c>
      <c r="D264">
        <v>26508632876.565613</v>
      </c>
      <c r="E264">
        <v>9895801</v>
      </c>
      <c r="F264" s="4">
        <v>2003</v>
      </c>
    </row>
    <row r="265" spans="1:6" x14ac:dyDescent="0.25">
      <c r="A265" t="s">
        <v>9</v>
      </c>
      <c r="B265">
        <v>1985</v>
      </c>
      <c r="C265">
        <v>148021926572.83154</v>
      </c>
      <c r="D265">
        <v>28987007295.999207</v>
      </c>
      <c r="E265">
        <v>9934300</v>
      </c>
      <c r="F265" s="4">
        <v>2020</v>
      </c>
    </row>
    <row r="266" spans="1:6" x14ac:dyDescent="0.25">
      <c r="A266" t="s">
        <v>9</v>
      </c>
      <c r="B266">
        <v>1986</v>
      </c>
      <c r="C266">
        <v>148788177255.8421</v>
      </c>
      <c r="D266">
        <v>29017798497.739834</v>
      </c>
      <c r="E266">
        <v>9967213</v>
      </c>
      <c r="F266" s="4">
        <v>2009</v>
      </c>
    </row>
    <row r="267" spans="1:6" x14ac:dyDescent="0.25">
      <c r="A267" t="s">
        <v>9</v>
      </c>
      <c r="B267">
        <v>1987</v>
      </c>
      <c r="C267">
        <v>145427255231.22842</v>
      </c>
      <c r="D267">
        <v>27383297392.657803</v>
      </c>
      <c r="E267">
        <v>10000595</v>
      </c>
      <c r="F267" s="4">
        <v>1968</v>
      </c>
    </row>
    <row r="268" spans="1:6" x14ac:dyDescent="0.25">
      <c r="A268" t="s">
        <v>9</v>
      </c>
      <c r="B268">
        <v>1988</v>
      </c>
      <c r="C268">
        <v>151662975083.53152</v>
      </c>
      <c r="D268">
        <v>28087920182.158581</v>
      </c>
      <c r="E268">
        <v>10036983</v>
      </c>
      <c r="F268" s="4">
        <v>1957</v>
      </c>
    </row>
    <row r="269" spans="1:6" x14ac:dyDescent="0.25">
      <c r="A269" t="s">
        <v>9</v>
      </c>
      <c r="B269">
        <v>1989</v>
      </c>
      <c r="C269">
        <v>157426167819.38504</v>
      </c>
      <c r="D269">
        <v>29803824028.999989</v>
      </c>
      <c r="E269">
        <v>10089498</v>
      </c>
      <c r="F269" s="4">
        <v>1997</v>
      </c>
    </row>
    <row r="270" spans="1:6" x14ac:dyDescent="0.25">
      <c r="A270" t="s">
        <v>9</v>
      </c>
      <c r="B270">
        <v>1990</v>
      </c>
      <c r="C270">
        <v>157426167819.38504</v>
      </c>
      <c r="D270">
        <v>31132809664.51952</v>
      </c>
      <c r="E270">
        <v>10196792</v>
      </c>
      <c r="F270" s="4">
        <v>1976</v>
      </c>
    </row>
    <row r="271" spans="1:6" x14ac:dyDescent="0.25">
      <c r="A271" t="s">
        <v>9</v>
      </c>
      <c r="B271">
        <v>1991</v>
      </c>
      <c r="C271">
        <v>162306379130.51825</v>
      </c>
      <c r="D271">
        <v>32455755111.862488</v>
      </c>
      <c r="E271">
        <v>10319927</v>
      </c>
      <c r="F271" s="4">
        <v>2005</v>
      </c>
    </row>
    <row r="272" spans="1:6" x14ac:dyDescent="0.25">
      <c r="A272" t="s">
        <v>9</v>
      </c>
      <c r="B272">
        <v>1992</v>
      </c>
      <c r="C272">
        <v>163442523659.05692</v>
      </c>
      <c r="D272">
        <v>31324141833.969131</v>
      </c>
      <c r="E272">
        <v>10399061</v>
      </c>
      <c r="F272" s="4">
        <v>2031</v>
      </c>
    </row>
    <row r="273" spans="1:6" x14ac:dyDescent="0.25">
      <c r="A273" t="s">
        <v>9</v>
      </c>
      <c r="B273">
        <v>1993</v>
      </c>
      <c r="C273">
        <v>160827442827.83075</v>
      </c>
      <c r="D273">
        <v>30073061755.577728</v>
      </c>
      <c r="E273">
        <v>10460415</v>
      </c>
      <c r="F273" s="4">
        <v>2051</v>
      </c>
    </row>
    <row r="274" spans="1:6" x14ac:dyDescent="0.25">
      <c r="A274" t="s">
        <v>9</v>
      </c>
      <c r="B274">
        <v>1994</v>
      </c>
      <c r="C274">
        <v>164043991706.57764</v>
      </c>
      <c r="D274">
        <v>29145776371.621868</v>
      </c>
      <c r="E274">
        <v>10512922</v>
      </c>
      <c r="F274" s="4">
        <v>2018</v>
      </c>
    </row>
    <row r="275" spans="1:6" x14ac:dyDescent="0.25">
      <c r="A275" t="s">
        <v>9</v>
      </c>
      <c r="B275">
        <v>1995</v>
      </c>
      <c r="C275">
        <v>167488456723.31668</v>
      </c>
      <c r="D275">
        <v>30349698823.623039</v>
      </c>
      <c r="E275">
        <v>10562153</v>
      </c>
      <c r="F275" s="4">
        <v>2001</v>
      </c>
    </row>
    <row r="276" spans="1:6" x14ac:dyDescent="0.25">
      <c r="A276" t="s">
        <v>9</v>
      </c>
      <c r="B276">
        <v>1996</v>
      </c>
      <c r="C276">
        <v>169803934679.1745</v>
      </c>
      <c r="D276">
        <v>33200613276.828896</v>
      </c>
      <c r="E276">
        <v>10608800</v>
      </c>
      <c r="F276" s="4">
        <v>2000</v>
      </c>
    </row>
    <row r="277" spans="1:6" x14ac:dyDescent="0.25">
      <c r="A277" t="s">
        <v>9</v>
      </c>
      <c r="B277">
        <v>1997</v>
      </c>
      <c r="C277">
        <v>175921772115.38739</v>
      </c>
      <c r="D277">
        <v>34222293798.493347</v>
      </c>
      <c r="E277">
        <v>10661259</v>
      </c>
      <c r="F277" s="4">
        <v>1998</v>
      </c>
    </row>
    <row r="278" spans="1:6" x14ac:dyDescent="0.25">
      <c r="A278" t="s">
        <v>9</v>
      </c>
      <c r="B278">
        <v>1998</v>
      </c>
      <c r="C278">
        <v>181968090350.67056</v>
      </c>
      <c r="D278">
        <v>40347802406.832016</v>
      </c>
      <c r="E278">
        <v>10720509</v>
      </c>
      <c r="F278" s="4">
        <v>1999</v>
      </c>
    </row>
    <row r="279" spans="1:6" x14ac:dyDescent="0.25">
      <c r="A279" t="s">
        <v>9</v>
      </c>
      <c r="B279">
        <v>1999</v>
      </c>
      <c r="C279">
        <v>186806232261.52994</v>
      </c>
      <c r="D279">
        <v>43177936793.109352</v>
      </c>
      <c r="E279">
        <v>10761698</v>
      </c>
      <c r="F279" s="4">
        <v>1995</v>
      </c>
    </row>
    <row r="280" spans="1:6" x14ac:dyDescent="0.25">
      <c r="A280" t="s">
        <v>9</v>
      </c>
      <c r="B280">
        <v>2000</v>
      </c>
      <c r="C280">
        <v>194535951163.52368</v>
      </c>
      <c r="D280">
        <v>45245467465.247627</v>
      </c>
      <c r="E280">
        <v>10805808</v>
      </c>
      <c r="F280" s="4">
        <v>1998</v>
      </c>
    </row>
    <row r="281" spans="1:6" x14ac:dyDescent="0.25">
      <c r="A281" t="s">
        <v>9</v>
      </c>
      <c r="B281">
        <v>2001</v>
      </c>
      <c r="C281">
        <v>203582678509.38266</v>
      </c>
      <c r="D281">
        <v>47024066556.99958</v>
      </c>
      <c r="E281">
        <v>10862132</v>
      </c>
      <c r="F281" s="4">
        <v>1992</v>
      </c>
    </row>
    <row r="282" spans="1:6" x14ac:dyDescent="0.25">
      <c r="A282" t="s">
        <v>9</v>
      </c>
      <c r="B282">
        <v>2002</v>
      </c>
      <c r="C282">
        <v>213116734983.1651</v>
      </c>
      <c r="D282">
        <v>45864201752.372238</v>
      </c>
      <c r="E282">
        <v>10902022</v>
      </c>
      <c r="F282" s="4">
        <v>1984</v>
      </c>
    </row>
    <row r="283" spans="1:6" x14ac:dyDescent="0.25">
      <c r="A283" t="s">
        <v>9</v>
      </c>
      <c r="B283">
        <v>2003</v>
      </c>
      <c r="C283">
        <v>225470734967.32446</v>
      </c>
      <c r="D283">
        <v>51255575637.83239</v>
      </c>
      <c r="E283">
        <v>10928070</v>
      </c>
      <c r="F283" s="4">
        <v>1983</v>
      </c>
    </row>
    <row r="284" spans="1:6" x14ac:dyDescent="0.25">
      <c r="A284" t="s">
        <v>9</v>
      </c>
      <c r="B284">
        <v>2004</v>
      </c>
      <c r="C284">
        <v>237596249633.37875</v>
      </c>
      <c r="D284">
        <v>55158353801.379265</v>
      </c>
      <c r="E284">
        <v>10955141</v>
      </c>
      <c r="F284" s="4">
        <v>1974</v>
      </c>
    </row>
    <row r="285" spans="1:6" x14ac:dyDescent="0.25">
      <c r="A285" t="s">
        <v>9</v>
      </c>
      <c r="B285">
        <v>2005</v>
      </c>
      <c r="C285">
        <v>240408215746.07211</v>
      </c>
      <c r="D285">
        <v>48529565707.801537</v>
      </c>
      <c r="E285">
        <v>10987314</v>
      </c>
      <c r="F285" s="4">
        <v>2025</v>
      </c>
    </row>
    <row r="286" spans="1:6" x14ac:dyDescent="0.25">
      <c r="A286" t="s">
        <v>9</v>
      </c>
      <c r="B286">
        <v>2006</v>
      </c>
      <c r="C286">
        <v>255898673311.45569</v>
      </c>
      <c r="D286">
        <v>57602415425.157394</v>
      </c>
      <c r="E286">
        <v>11020362</v>
      </c>
      <c r="F286" s="4">
        <v>2015</v>
      </c>
    </row>
    <row r="287" spans="1:6" x14ac:dyDescent="0.25">
      <c r="A287" t="s">
        <v>9</v>
      </c>
      <c r="B287">
        <v>2007</v>
      </c>
      <c r="C287">
        <v>264872707591.74701</v>
      </c>
      <c r="D287">
        <v>64463209321.242149</v>
      </c>
      <c r="E287">
        <v>11048473</v>
      </c>
      <c r="F287" s="4">
        <v>2001</v>
      </c>
    </row>
    <row r="288" spans="1:6" x14ac:dyDescent="0.25">
      <c r="A288" t="s">
        <v>9</v>
      </c>
      <c r="B288">
        <v>2008</v>
      </c>
      <c r="C288">
        <v>265024939417.41779</v>
      </c>
      <c r="D288">
        <v>59750159441.236298</v>
      </c>
      <c r="E288">
        <v>11077841</v>
      </c>
      <c r="F288" s="4">
        <v>1997</v>
      </c>
    </row>
    <row r="289" spans="1:6" x14ac:dyDescent="0.25">
      <c r="A289" t="s">
        <v>9</v>
      </c>
      <c r="B289">
        <v>2009</v>
      </c>
      <c r="C289">
        <v>254107830744.95569</v>
      </c>
      <c r="D289">
        <v>51825962900.748016</v>
      </c>
      <c r="E289">
        <v>11107017</v>
      </c>
      <c r="F289" s="4">
        <v>1973</v>
      </c>
    </row>
    <row r="290" spans="1:6" x14ac:dyDescent="0.25">
      <c r="A290" t="s">
        <v>9</v>
      </c>
      <c r="B290">
        <v>2010</v>
      </c>
      <c r="C290">
        <v>239639588486.44986</v>
      </c>
      <c r="D290">
        <v>40320133374.365601</v>
      </c>
      <c r="E290">
        <v>11121341</v>
      </c>
      <c r="F290" s="4">
        <v>1931</v>
      </c>
    </row>
    <row r="291" spans="1:6" x14ac:dyDescent="0.25">
      <c r="A291" t="s">
        <v>9</v>
      </c>
      <c r="B291">
        <v>2011</v>
      </c>
      <c r="C291">
        <v>215970915842.32095</v>
      </c>
      <c r="D291">
        <v>30139782313.255451</v>
      </c>
      <c r="E291">
        <v>11104899</v>
      </c>
      <c r="F291" s="4">
        <v>1950</v>
      </c>
    </row>
    <row r="292" spans="1:6" x14ac:dyDescent="0.25">
      <c r="A292" t="s">
        <v>9</v>
      </c>
      <c r="B292">
        <v>2012</v>
      </c>
      <c r="C292">
        <v>197978089531.73114</v>
      </c>
      <c r="D292">
        <v>24461957718.232407</v>
      </c>
      <c r="E292">
        <v>11045011</v>
      </c>
      <c r="F292" s="4">
        <v>1990</v>
      </c>
    </row>
    <row r="293" spans="1:6" x14ac:dyDescent="0.25">
      <c r="A293" t="s">
        <v>9</v>
      </c>
      <c r="B293">
        <v>2013</v>
      </c>
      <c r="C293">
        <v>193479795857.32178</v>
      </c>
      <c r="D293">
        <v>22171639076.682407</v>
      </c>
      <c r="E293">
        <v>10965211</v>
      </c>
      <c r="F293" s="4">
        <v>1997</v>
      </c>
    </row>
    <row r="294" spans="1:6" x14ac:dyDescent="0.25">
      <c r="A294" t="s">
        <v>9</v>
      </c>
      <c r="B294">
        <v>2014</v>
      </c>
      <c r="C294">
        <v>195012591244.25888</v>
      </c>
      <c r="D294">
        <v>21676473459.212486</v>
      </c>
      <c r="E294">
        <v>10892413</v>
      </c>
      <c r="F294" s="4">
        <v>1949</v>
      </c>
    </row>
    <row r="295" spans="1:6" x14ac:dyDescent="0.25">
      <c r="A295" t="s">
        <v>9</v>
      </c>
      <c r="B295">
        <v>2015</v>
      </c>
      <c r="C295">
        <v>194567373678.09912</v>
      </c>
      <c r="D295">
        <v>21715847852.674988</v>
      </c>
      <c r="E295">
        <v>10820883</v>
      </c>
      <c r="F295" s="4">
        <v>1935</v>
      </c>
    </row>
    <row r="296" spans="1:6" x14ac:dyDescent="0.25">
      <c r="A296" t="s">
        <v>9</v>
      </c>
      <c r="B296">
        <v>2016</v>
      </c>
      <c r="C296">
        <v>194505510567.85654</v>
      </c>
      <c r="D296">
        <v>22273634377.691784</v>
      </c>
      <c r="E296">
        <v>10775971</v>
      </c>
      <c r="F296" s="4">
        <v>1943</v>
      </c>
    </row>
    <row r="297" spans="1:6" x14ac:dyDescent="0.25">
      <c r="A297" t="s">
        <v>9</v>
      </c>
      <c r="B297">
        <v>2017</v>
      </c>
      <c r="C297">
        <v>197370819841.30536</v>
      </c>
      <c r="D297">
        <v>23980780839.287483</v>
      </c>
      <c r="E297">
        <v>10754679</v>
      </c>
      <c r="F297" s="4">
        <v>1947</v>
      </c>
    </row>
    <row r="298" spans="1:6" x14ac:dyDescent="0.25">
      <c r="A298" t="s">
        <v>9</v>
      </c>
      <c r="B298">
        <v>2018</v>
      </c>
      <c r="C298">
        <v>201445880947.4827</v>
      </c>
      <c r="D298">
        <v>22885481918.304279</v>
      </c>
      <c r="E298">
        <v>10732882</v>
      </c>
      <c r="F298" s="4">
        <v>1961</v>
      </c>
    </row>
    <row r="299" spans="1:6" x14ac:dyDescent="0.25">
      <c r="A299" t="s">
        <v>9</v>
      </c>
      <c r="B299">
        <v>2019</v>
      </c>
      <c r="C299">
        <v>206033167541.33621</v>
      </c>
      <c r="D299">
        <v>22696298875.323811</v>
      </c>
      <c r="E299">
        <v>10721582</v>
      </c>
      <c r="F299" s="4">
        <v>1918</v>
      </c>
    </row>
    <row r="300" spans="1:6" x14ac:dyDescent="0.25">
      <c r="A300" t="s">
        <v>9</v>
      </c>
      <c r="B300">
        <v>2020</v>
      </c>
      <c r="C300">
        <v>187085880547.56046</v>
      </c>
      <c r="D300">
        <v>23076118423.171467</v>
      </c>
      <c r="E300">
        <v>10698599</v>
      </c>
      <c r="F300" s="4">
        <v>1732</v>
      </c>
    </row>
    <row r="301" spans="1:6" x14ac:dyDescent="0.25">
      <c r="A301" t="s">
        <v>9</v>
      </c>
      <c r="B301">
        <v>2021</v>
      </c>
      <c r="C301">
        <v>203277224063.02917</v>
      </c>
      <c r="D301">
        <v>28075471447.525757</v>
      </c>
      <c r="E301">
        <v>10569207</v>
      </c>
      <c r="F301" s="4">
        <v>1854</v>
      </c>
    </row>
    <row r="302" spans="1:6" x14ac:dyDescent="0.25">
      <c r="A302" t="s">
        <v>9</v>
      </c>
      <c r="B302">
        <v>2022</v>
      </c>
      <c r="C302">
        <v>214952754695.54559</v>
      </c>
      <c r="D302">
        <v>32669083374.368717</v>
      </c>
      <c r="E302">
        <v>10436882</v>
      </c>
      <c r="F302" s="4">
        <v>1886</v>
      </c>
    </row>
    <row r="303" spans="1:6" x14ac:dyDescent="0.25">
      <c r="A303" t="s">
        <v>10</v>
      </c>
      <c r="B303">
        <v>1980</v>
      </c>
      <c r="C303">
        <v>6887415271.1421986</v>
      </c>
      <c r="D303">
        <v>1818633845.4389892</v>
      </c>
      <c r="E303">
        <v>228138</v>
      </c>
      <c r="F303" s="4">
        <v>1768</v>
      </c>
    </row>
    <row r="304" spans="1:6" x14ac:dyDescent="0.25">
      <c r="A304" t="s">
        <v>10</v>
      </c>
      <c r="B304">
        <v>1981</v>
      </c>
      <c r="C304">
        <v>7181164023.3909502</v>
      </c>
      <c r="D304">
        <v>1840175414.7417016</v>
      </c>
      <c r="E304">
        <v>230755</v>
      </c>
      <c r="F304" s="4">
        <v>1761</v>
      </c>
    </row>
    <row r="305" spans="1:6" x14ac:dyDescent="0.25">
      <c r="A305" t="s">
        <v>10</v>
      </c>
      <c r="B305">
        <v>1982</v>
      </c>
      <c r="C305">
        <v>7335886960.2866602</v>
      </c>
      <c r="D305">
        <v>1841333135.2941234</v>
      </c>
      <c r="E305">
        <v>233860</v>
      </c>
      <c r="F305" s="4">
        <v>1764</v>
      </c>
    </row>
    <row r="306" spans="1:6" x14ac:dyDescent="0.25">
      <c r="A306" t="s">
        <v>10</v>
      </c>
      <c r="B306">
        <v>1983</v>
      </c>
      <c r="C306">
        <v>7178080169.6689329</v>
      </c>
      <c r="D306">
        <v>1606969750.6945097</v>
      </c>
      <c r="E306">
        <v>236977</v>
      </c>
      <c r="F306" s="4">
        <v>1764</v>
      </c>
    </row>
    <row r="307" spans="1:6" x14ac:dyDescent="0.25">
      <c r="A307" t="s">
        <v>10</v>
      </c>
      <c r="B307">
        <v>1984</v>
      </c>
      <c r="C307">
        <v>7474471587.2692871</v>
      </c>
      <c r="D307">
        <v>1757526508.2322276</v>
      </c>
      <c r="E307">
        <v>239511</v>
      </c>
      <c r="F307" s="4">
        <v>1762</v>
      </c>
    </row>
    <row r="308" spans="1:6" x14ac:dyDescent="0.25">
      <c r="A308" t="s">
        <v>10</v>
      </c>
      <c r="B308">
        <v>1985</v>
      </c>
      <c r="C308">
        <v>7720594077.2940903</v>
      </c>
      <c r="D308">
        <v>1775608166.4622262</v>
      </c>
      <c r="E308">
        <v>241405</v>
      </c>
      <c r="F308" s="4">
        <v>1761</v>
      </c>
    </row>
    <row r="309" spans="1:6" x14ac:dyDescent="0.25">
      <c r="A309" t="s">
        <v>10</v>
      </c>
      <c r="B309">
        <v>1986</v>
      </c>
      <c r="C309">
        <v>8204717169.1540689</v>
      </c>
      <c r="D309">
        <v>1748052635.9144917</v>
      </c>
      <c r="E309">
        <v>243180</v>
      </c>
      <c r="F309" s="4">
        <v>1754</v>
      </c>
    </row>
    <row r="310" spans="1:6" x14ac:dyDescent="0.25">
      <c r="A310" t="s">
        <v>10</v>
      </c>
      <c r="B310">
        <v>1987</v>
      </c>
      <c r="C310">
        <v>8905887360.2500324</v>
      </c>
      <c r="D310">
        <v>2076023501.5668664</v>
      </c>
      <c r="E310">
        <v>245859</v>
      </c>
      <c r="F310" s="4">
        <v>1752</v>
      </c>
    </row>
    <row r="311" spans="1:6" x14ac:dyDescent="0.25">
      <c r="A311" t="s">
        <v>10</v>
      </c>
      <c r="B311">
        <v>1988</v>
      </c>
      <c r="C311">
        <v>8897896461.8207321</v>
      </c>
      <c r="D311">
        <v>2071781472.4668705</v>
      </c>
      <c r="E311">
        <v>249740</v>
      </c>
      <c r="F311" s="4">
        <v>1759</v>
      </c>
    </row>
    <row r="312" spans="1:6" x14ac:dyDescent="0.25">
      <c r="A312" t="s">
        <v>10</v>
      </c>
      <c r="B312">
        <v>1989</v>
      </c>
      <c r="C312">
        <v>8920892169.0715847</v>
      </c>
      <c r="D312">
        <v>1908852125.6322501</v>
      </c>
      <c r="E312">
        <v>252852</v>
      </c>
      <c r="F312" s="4">
        <v>1755</v>
      </c>
    </row>
    <row r="313" spans="1:6" x14ac:dyDescent="0.25">
      <c r="A313" t="s">
        <v>10</v>
      </c>
      <c r="B313">
        <v>1990</v>
      </c>
      <c r="C313">
        <v>9025210435.7043495</v>
      </c>
      <c r="D313">
        <v>1966305136.5820916</v>
      </c>
      <c r="E313">
        <v>254826</v>
      </c>
      <c r="F313" s="4">
        <v>1744</v>
      </c>
    </row>
    <row r="314" spans="1:6" x14ac:dyDescent="0.25">
      <c r="A314" t="s">
        <v>10</v>
      </c>
      <c r="B314">
        <v>1991</v>
      </c>
      <c r="C314">
        <v>9005036784.585083</v>
      </c>
      <c r="D314">
        <v>2017210061.8944132</v>
      </c>
      <c r="E314">
        <v>257797</v>
      </c>
      <c r="F314" s="4">
        <v>1748</v>
      </c>
    </row>
    <row r="315" spans="1:6" x14ac:dyDescent="0.25">
      <c r="A315" t="s">
        <v>10</v>
      </c>
      <c r="B315">
        <v>1992</v>
      </c>
      <c r="C315">
        <v>8701216382.7894402</v>
      </c>
      <c r="D315">
        <v>1808348443.0413058</v>
      </c>
      <c r="E315">
        <v>261057</v>
      </c>
      <c r="F315" s="4">
        <v>1753</v>
      </c>
    </row>
    <row r="316" spans="1:6" x14ac:dyDescent="0.25">
      <c r="A316" t="s">
        <v>10</v>
      </c>
      <c r="B316">
        <v>1993</v>
      </c>
      <c r="C316">
        <v>8815502462.2945042</v>
      </c>
      <c r="D316">
        <v>1631077279.0186901</v>
      </c>
      <c r="E316">
        <v>263725</v>
      </c>
      <c r="F316" s="4">
        <v>1756</v>
      </c>
    </row>
    <row r="317" spans="1:6" x14ac:dyDescent="0.25">
      <c r="A317" t="s">
        <v>10</v>
      </c>
      <c r="B317">
        <v>1994</v>
      </c>
      <c r="C317">
        <v>9133641416.9509182</v>
      </c>
      <c r="D317">
        <v>1627645984.0539181</v>
      </c>
      <c r="E317">
        <v>266021</v>
      </c>
      <c r="F317" s="4">
        <v>1764</v>
      </c>
    </row>
    <row r="318" spans="1:6" x14ac:dyDescent="0.25">
      <c r="A318" t="s">
        <v>10</v>
      </c>
      <c r="B318">
        <v>1995</v>
      </c>
      <c r="C318">
        <v>9144289754.9819889</v>
      </c>
      <c r="D318">
        <v>1599773265.7433748</v>
      </c>
      <c r="E318">
        <v>267468</v>
      </c>
      <c r="F318" s="4">
        <v>1734</v>
      </c>
    </row>
    <row r="319" spans="1:6" x14ac:dyDescent="0.25">
      <c r="A319" t="s">
        <v>10</v>
      </c>
      <c r="B319">
        <v>1996</v>
      </c>
      <c r="C319">
        <v>9561920769.22616</v>
      </c>
      <c r="D319">
        <v>1956763495.2564094</v>
      </c>
      <c r="E319">
        <v>268916</v>
      </c>
      <c r="F319" s="4">
        <v>1759</v>
      </c>
    </row>
    <row r="320" spans="1:6" x14ac:dyDescent="0.25">
      <c r="A320" t="s">
        <v>10</v>
      </c>
      <c r="B320">
        <v>1997</v>
      </c>
      <c r="C320">
        <v>10113797776.404722</v>
      </c>
      <c r="D320">
        <v>2176371239.6352749</v>
      </c>
      <c r="E320">
        <v>271128</v>
      </c>
      <c r="F320" s="4">
        <v>1737</v>
      </c>
    </row>
    <row r="321" spans="1:6" x14ac:dyDescent="0.25">
      <c r="A321" t="s">
        <v>10</v>
      </c>
      <c r="B321">
        <v>1998</v>
      </c>
      <c r="C321">
        <v>10858456575.509472</v>
      </c>
      <c r="D321">
        <v>2841648455.0017123</v>
      </c>
      <c r="E321">
        <v>274047</v>
      </c>
      <c r="F321" s="4">
        <v>1741</v>
      </c>
    </row>
    <row r="322" spans="1:6" x14ac:dyDescent="0.25">
      <c r="A322" t="s">
        <v>10</v>
      </c>
      <c r="B322">
        <v>1999</v>
      </c>
      <c r="C322">
        <v>11296586994.517035</v>
      </c>
      <c r="D322">
        <v>2746903750.8682842</v>
      </c>
      <c r="E322">
        <v>277381</v>
      </c>
      <c r="F322" s="4">
        <v>1742</v>
      </c>
    </row>
    <row r="323" spans="1:6" x14ac:dyDescent="0.25">
      <c r="A323" t="s">
        <v>10</v>
      </c>
      <c r="B323">
        <v>2000</v>
      </c>
      <c r="C323">
        <v>11859726687.766937</v>
      </c>
      <c r="D323">
        <v>3074442517.0809526</v>
      </c>
      <c r="E323">
        <v>281205</v>
      </c>
      <c r="F323" s="4">
        <v>1729</v>
      </c>
    </row>
    <row r="324" spans="1:6" x14ac:dyDescent="0.25">
      <c r="A324" t="s">
        <v>10</v>
      </c>
      <c r="B324">
        <v>2001</v>
      </c>
      <c r="C324">
        <v>12335716528.378798</v>
      </c>
      <c r="D324">
        <v>2955678899.802639</v>
      </c>
      <c r="E324">
        <v>284968</v>
      </c>
      <c r="F324" s="4">
        <v>1714</v>
      </c>
    </row>
    <row r="325" spans="1:6" x14ac:dyDescent="0.25">
      <c r="A325" t="s">
        <v>10</v>
      </c>
      <c r="B325">
        <v>2002</v>
      </c>
      <c r="C325">
        <v>12404737216.257444</v>
      </c>
      <c r="D325">
        <v>2589658791.0998821</v>
      </c>
      <c r="E325">
        <v>287523</v>
      </c>
      <c r="F325" s="4">
        <v>1714</v>
      </c>
    </row>
    <row r="326" spans="1:6" x14ac:dyDescent="0.25">
      <c r="A326" t="s">
        <v>10</v>
      </c>
      <c r="B326">
        <v>2003</v>
      </c>
      <c r="C326">
        <v>12670532078.994635</v>
      </c>
      <c r="D326">
        <v>2829262190.6164045</v>
      </c>
      <c r="E326">
        <v>289521</v>
      </c>
      <c r="F326" s="4">
        <v>1682</v>
      </c>
    </row>
    <row r="327" spans="1:6" x14ac:dyDescent="0.25">
      <c r="A327" t="s">
        <v>10</v>
      </c>
      <c r="B327">
        <v>2004</v>
      </c>
      <c r="C327">
        <v>13659137611.528231</v>
      </c>
      <c r="D327">
        <v>3574621390.7567525</v>
      </c>
      <c r="E327">
        <v>292074</v>
      </c>
      <c r="F327" s="4">
        <v>1687</v>
      </c>
    </row>
    <row r="328" spans="1:6" x14ac:dyDescent="0.25">
      <c r="A328" t="s">
        <v>10</v>
      </c>
      <c r="B328">
        <v>2005</v>
      </c>
      <c r="C328">
        <v>14495683157.737547</v>
      </c>
      <c r="D328">
        <v>4655693186.3779697</v>
      </c>
      <c r="E328">
        <v>296734</v>
      </c>
      <c r="F328" s="4">
        <v>1615</v>
      </c>
    </row>
    <row r="329" spans="1:6" x14ac:dyDescent="0.25">
      <c r="A329" t="s">
        <v>10</v>
      </c>
      <c r="B329">
        <v>2006</v>
      </c>
      <c r="C329">
        <v>15411374460.634037</v>
      </c>
      <c r="D329">
        <v>5764490905.3613091</v>
      </c>
      <c r="E329">
        <v>303782</v>
      </c>
      <c r="F329" s="4">
        <v>1588</v>
      </c>
    </row>
    <row r="330" spans="1:6" x14ac:dyDescent="0.25">
      <c r="A330" t="s">
        <v>10</v>
      </c>
      <c r="B330">
        <v>2007</v>
      </c>
      <c r="C330">
        <v>16714384610.171278</v>
      </c>
      <c r="D330">
        <v>5129767551.8991146</v>
      </c>
      <c r="E330">
        <v>311566</v>
      </c>
      <c r="F330" s="4">
        <v>1554</v>
      </c>
    </row>
    <row r="331" spans="1:6" x14ac:dyDescent="0.25">
      <c r="A331" t="s">
        <v>10</v>
      </c>
      <c r="B331">
        <v>2008</v>
      </c>
      <c r="C331">
        <v>17083688339.560976</v>
      </c>
      <c r="D331">
        <v>4182924458.2607083</v>
      </c>
      <c r="E331">
        <v>317414</v>
      </c>
      <c r="F331" s="4">
        <v>1625</v>
      </c>
    </row>
    <row r="332" spans="1:6" x14ac:dyDescent="0.25">
      <c r="A332" t="s">
        <v>10</v>
      </c>
      <c r="B332">
        <v>2009</v>
      </c>
      <c r="C332">
        <v>15774426999.34877</v>
      </c>
      <c r="D332">
        <v>2197817765.5574908</v>
      </c>
      <c r="E332">
        <v>318499</v>
      </c>
      <c r="F332" s="4">
        <v>1536</v>
      </c>
    </row>
    <row r="333" spans="1:6" x14ac:dyDescent="0.25">
      <c r="A333" t="s">
        <v>10</v>
      </c>
      <c r="B333">
        <v>2010</v>
      </c>
      <c r="C333">
        <v>15327572988.261784</v>
      </c>
      <c r="D333">
        <v>2012955911.6933317</v>
      </c>
      <c r="E333">
        <v>318041</v>
      </c>
      <c r="F333" s="4">
        <v>1528</v>
      </c>
    </row>
    <row r="334" spans="1:6" x14ac:dyDescent="0.25">
      <c r="A334" t="s">
        <v>10</v>
      </c>
      <c r="B334">
        <v>2011</v>
      </c>
      <c r="C334">
        <v>15610486135.636927</v>
      </c>
      <c r="D334">
        <v>2232964963.8217158</v>
      </c>
      <c r="E334">
        <v>319014</v>
      </c>
      <c r="F334" s="4">
        <v>1538</v>
      </c>
    </row>
    <row r="335" spans="1:6" x14ac:dyDescent="0.25">
      <c r="A335" t="s">
        <v>10</v>
      </c>
      <c r="B335">
        <v>2012</v>
      </c>
      <c r="C335">
        <v>15776524980.774536</v>
      </c>
      <c r="D335">
        <v>2347768892.5447736</v>
      </c>
      <c r="E335">
        <v>320716</v>
      </c>
      <c r="F335" s="4">
        <v>1523</v>
      </c>
    </row>
    <row r="336" spans="1:6" x14ac:dyDescent="0.25">
      <c r="A336" t="s">
        <v>10</v>
      </c>
      <c r="B336">
        <v>2013</v>
      </c>
      <c r="C336">
        <v>16494745020.423021</v>
      </c>
      <c r="D336">
        <v>2400189736.2766876</v>
      </c>
      <c r="E336">
        <v>323764</v>
      </c>
      <c r="F336" s="4">
        <v>1524</v>
      </c>
    </row>
    <row r="337" spans="1:6" x14ac:dyDescent="0.25">
      <c r="A337" t="s">
        <v>10</v>
      </c>
      <c r="B337">
        <v>2014</v>
      </c>
      <c r="C337">
        <v>16773046835.50699</v>
      </c>
      <c r="D337">
        <v>2787697305.2017627</v>
      </c>
      <c r="E337">
        <v>327386</v>
      </c>
      <c r="F337" s="4">
        <v>1513</v>
      </c>
    </row>
    <row r="338" spans="1:6" x14ac:dyDescent="0.25">
      <c r="A338" t="s">
        <v>10</v>
      </c>
      <c r="B338">
        <v>2015</v>
      </c>
      <c r="C338">
        <v>17517210519.091156</v>
      </c>
      <c r="D338">
        <v>3386606655.8119226</v>
      </c>
      <c r="E338">
        <v>330815</v>
      </c>
      <c r="F338" s="4">
        <v>1511</v>
      </c>
    </row>
    <row r="339" spans="1:6" x14ac:dyDescent="0.25">
      <c r="A339" t="s">
        <v>10</v>
      </c>
      <c r="B339">
        <v>2016</v>
      </c>
      <c r="C339">
        <v>18621440660.001873</v>
      </c>
      <c r="D339">
        <v>3995819723.1288495</v>
      </c>
      <c r="E339">
        <v>335439</v>
      </c>
      <c r="F339" s="4">
        <v>1520</v>
      </c>
    </row>
    <row r="340" spans="1:6" x14ac:dyDescent="0.25">
      <c r="A340" t="s">
        <v>10</v>
      </c>
      <c r="B340">
        <v>2017</v>
      </c>
      <c r="C340">
        <v>19402600566.927147</v>
      </c>
      <c r="D340">
        <v>4418002017.5298605</v>
      </c>
      <c r="E340">
        <v>343400</v>
      </c>
      <c r="F340" s="4">
        <v>1507</v>
      </c>
    </row>
    <row r="341" spans="1:6" x14ac:dyDescent="0.25">
      <c r="A341" t="s">
        <v>10</v>
      </c>
      <c r="B341">
        <v>2018</v>
      </c>
      <c r="C341">
        <v>20351227274.146957</v>
      </c>
      <c r="D341">
        <v>4519807562.4725676</v>
      </c>
      <c r="E341">
        <v>352721</v>
      </c>
      <c r="F341" s="4">
        <v>1496</v>
      </c>
    </row>
    <row r="342" spans="1:6" x14ac:dyDescent="0.25">
      <c r="A342" t="s">
        <v>10</v>
      </c>
      <c r="B342">
        <v>2019</v>
      </c>
      <c r="C342">
        <v>20729999827.290714</v>
      </c>
      <c r="D342">
        <v>4334485660.1382437</v>
      </c>
      <c r="E342">
        <v>360563</v>
      </c>
      <c r="F342" s="4">
        <v>1480</v>
      </c>
    </row>
    <row r="343" spans="1:6" x14ac:dyDescent="0.25">
      <c r="A343" t="s">
        <v>10</v>
      </c>
      <c r="B343">
        <v>2020</v>
      </c>
      <c r="C343">
        <v>19291243912.706753</v>
      </c>
      <c r="D343">
        <v>4014283662.2392459</v>
      </c>
      <c r="E343">
        <v>366463</v>
      </c>
      <c r="F343" s="4">
        <v>1464</v>
      </c>
    </row>
    <row r="344" spans="1:6" x14ac:dyDescent="0.25">
      <c r="A344" t="s">
        <v>10</v>
      </c>
      <c r="B344">
        <v>2021</v>
      </c>
      <c r="C344">
        <v>20304846331.877651</v>
      </c>
      <c r="D344">
        <v>4589244809.9177332</v>
      </c>
      <c r="E344">
        <v>372520</v>
      </c>
      <c r="F344" s="4">
        <v>1459</v>
      </c>
    </row>
    <row r="345" spans="1:6" x14ac:dyDescent="0.25">
      <c r="A345" t="s">
        <v>10</v>
      </c>
      <c r="B345">
        <v>2022</v>
      </c>
      <c r="C345">
        <v>22130761184.017059</v>
      </c>
      <c r="D345">
        <v>5308644917.214325</v>
      </c>
      <c r="E345">
        <v>382003</v>
      </c>
      <c r="F345" s="4">
        <v>1459</v>
      </c>
    </row>
    <row r="346" spans="1:6" x14ac:dyDescent="0.25">
      <c r="A346" t="s">
        <v>11</v>
      </c>
      <c r="B346">
        <v>1980</v>
      </c>
      <c r="C346">
        <v>57810564481.490173</v>
      </c>
      <c r="D346">
        <v>15020850686.86211</v>
      </c>
      <c r="E346">
        <v>3412800</v>
      </c>
      <c r="F346" s="4">
        <v>2081</v>
      </c>
    </row>
    <row r="347" spans="1:6" x14ac:dyDescent="0.25">
      <c r="A347" t="s">
        <v>11</v>
      </c>
      <c r="B347">
        <v>1981</v>
      </c>
      <c r="C347">
        <v>59732889873.093689</v>
      </c>
      <c r="D347">
        <v>16452319809.062891</v>
      </c>
      <c r="E347">
        <v>3453000</v>
      </c>
      <c r="F347" s="4">
        <v>2050</v>
      </c>
    </row>
    <row r="348" spans="1:6" x14ac:dyDescent="0.25">
      <c r="A348" t="s">
        <v>11</v>
      </c>
      <c r="B348">
        <v>1982</v>
      </c>
      <c r="C348">
        <v>61096871764.20932</v>
      </c>
      <c r="D348">
        <v>15890914052.996874</v>
      </c>
      <c r="E348">
        <v>3485800</v>
      </c>
      <c r="F348" s="4">
        <v>2043</v>
      </c>
    </row>
    <row r="349" spans="1:6" x14ac:dyDescent="0.25">
      <c r="A349" t="s">
        <v>11</v>
      </c>
      <c r="B349">
        <v>1983</v>
      </c>
      <c r="C349">
        <v>60947611214.059319</v>
      </c>
      <c r="D349">
        <v>14415406145.141405</v>
      </c>
      <c r="E349">
        <v>3510600</v>
      </c>
      <c r="F349" s="4">
        <v>2033</v>
      </c>
    </row>
    <row r="350" spans="1:6" x14ac:dyDescent="0.25">
      <c r="A350" t="s">
        <v>11</v>
      </c>
      <c r="B350">
        <v>1984</v>
      </c>
      <c r="C350">
        <v>63601497258.635101</v>
      </c>
      <c r="D350">
        <v>14052751871.224609</v>
      </c>
      <c r="E350">
        <v>3532423</v>
      </c>
      <c r="F350" s="4">
        <v>2015</v>
      </c>
    </row>
    <row r="351" spans="1:6" x14ac:dyDescent="0.25">
      <c r="A351" t="s">
        <v>11</v>
      </c>
      <c r="B351">
        <v>1985</v>
      </c>
      <c r="C351">
        <v>65563994783.469482</v>
      </c>
      <c r="D351">
        <v>12968619087.972656</v>
      </c>
      <c r="E351">
        <v>3538082</v>
      </c>
      <c r="F351" s="4">
        <v>2022</v>
      </c>
    </row>
    <row r="352" spans="1:6" x14ac:dyDescent="0.25">
      <c r="A352" t="s">
        <v>11</v>
      </c>
      <c r="B352">
        <v>1986</v>
      </c>
      <c r="C352">
        <v>65283163756.697609</v>
      </c>
      <c r="D352">
        <v>12606347596.003124</v>
      </c>
      <c r="E352">
        <v>3539690</v>
      </c>
      <c r="F352" s="4">
        <v>2056</v>
      </c>
    </row>
    <row r="353" spans="1:6" x14ac:dyDescent="0.25">
      <c r="A353" t="s">
        <v>11</v>
      </c>
      <c r="B353">
        <v>1987</v>
      </c>
      <c r="C353">
        <v>68327377545.708153</v>
      </c>
      <c r="D353">
        <v>12462903112.425779</v>
      </c>
      <c r="E353">
        <v>3540057</v>
      </c>
      <c r="F353" s="4">
        <v>2036</v>
      </c>
    </row>
    <row r="354" spans="1:6" x14ac:dyDescent="0.25">
      <c r="A354" t="s">
        <v>11</v>
      </c>
      <c r="B354">
        <v>1988</v>
      </c>
      <c r="C354">
        <v>71892300157.956589</v>
      </c>
      <c r="D354">
        <v>13115353277.2707</v>
      </c>
      <c r="E354">
        <v>3524949</v>
      </c>
      <c r="F354" s="4">
        <v>2044</v>
      </c>
    </row>
    <row r="355" spans="1:6" x14ac:dyDescent="0.25">
      <c r="A355" t="s">
        <v>11</v>
      </c>
      <c r="B355">
        <v>1989</v>
      </c>
      <c r="C355">
        <v>76072060448.057755</v>
      </c>
      <c r="D355">
        <v>14444583005.626169</v>
      </c>
      <c r="E355">
        <v>3511009</v>
      </c>
      <c r="F355" s="4">
        <v>2051</v>
      </c>
    </row>
    <row r="356" spans="1:6" x14ac:dyDescent="0.25">
      <c r="A356" t="s">
        <v>11</v>
      </c>
      <c r="B356">
        <v>1990</v>
      </c>
      <c r="C356">
        <v>82512722864.439789</v>
      </c>
      <c r="D356">
        <v>16380447783.033981</v>
      </c>
      <c r="E356">
        <v>3513974</v>
      </c>
      <c r="F356" s="4">
        <v>2040</v>
      </c>
    </row>
    <row r="357" spans="1:6" x14ac:dyDescent="0.25">
      <c r="A357" t="s">
        <v>11</v>
      </c>
      <c r="B357">
        <v>1991</v>
      </c>
      <c r="C357">
        <v>84104920462.028061</v>
      </c>
      <c r="D357">
        <v>15236447903.229685</v>
      </c>
      <c r="E357">
        <v>3534235</v>
      </c>
      <c r="F357" s="4">
        <v>2006</v>
      </c>
    </row>
    <row r="358" spans="1:6" x14ac:dyDescent="0.25">
      <c r="A358" t="s">
        <v>11</v>
      </c>
      <c r="B358">
        <v>1992</v>
      </c>
      <c r="C358">
        <v>86916778951.971024</v>
      </c>
      <c r="D358">
        <v>15232394852.64023</v>
      </c>
      <c r="E358">
        <v>3558430</v>
      </c>
      <c r="F358" s="4">
        <v>1958</v>
      </c>
    </row>
    <row r="359" spans="1:6" x14ac:dyDescent="0.25">
      <c r="A359" t="s">
        <v>11</v>
      </c>
      <c r="B359">
        <v>1993</v>
      </c>
      <c r="C359">
        <v>89257107777.553055</v>
      </c>
      <c r="D359">
        <v>14458092434.582418</v>
      </c>
      <c r="E359">
        <v>3576261</v>
      </c>
      <c r="F359" s="4">
        <v>1932</v>
      </c>
    </row>
    <row r="360" spans="1:6" x14ac:dyDescent="0.25">
      <c r="A360" t="s">
        <v>11</v>
      </c>
      <c r="B360">
        <v>1994</v>
      </c>
      <c r="C360">
        <v>94394592937.764374</v>
      </c>
      <c r="D360">
        <v>16169632567.224997</v>
      </c>
      <c r="E360">
        <v>3590386</v>
      </c>
      <c r="F360" s="4">
        <v>1932</v>
      </c>
    </row>
    <row r="361" spans="1:6" x14ac:dyDescent="0.25">
      <c r="A361" t="s">
        <v>11</v>
      </c>
      <c r="B361">
        <v>1995</v>
      </c>
      <c r="C361">
        <v>103488967205.19835</v>
      </c>
      <c r="D361">
        <v>18722896887.749996</v>
      </c>
      <c r="E361">
        <v>3608841</v>
      </c>
      <c r="F361" s="4">
        <v>1962</v>
      </c>
    </row>
    <row r="362" spans="1:6" x14ac:dyDescent="0.25">
      <c r="A362" t="s">
        <v>11</v>
      </c>
      <c r="B362">
        <v>1996</v>
      </c>
      <c r="C362">
        <v>111126061752.05695</v>
      </c>
      <c r="D362">
        <v>21798481044.230072</v>
      </c>
      <c r="E362">
        <v>3637510</v>
      </c>
      <c r="F362" s="4">
        <v>1954</v>
      </c>
    </row>
    <row r="363" spans="1:6" x14ac:dyDescent="0.25">
      <c r="A363" t="s">
        <v>11</v>
      </c>
      <c r="B363">
        <v>1997</v>
      </c>
      <c r="C363">
        <v>123374112131.26476</v>
      </c>
      <c r="D363">
        <v>25243805933.459366</v>
      </c>
      <c r="E363">
        <v>3674171</v>
      </c>
      <c r="F363" s="4">
        <v>1954</v>
      </c>
    </row>
    <row r="364" spans="1:6" x14ac:dyDescent="0.25">
      <c r="A364" t="s">
        <v>11</v>
      </c>
      <c r="B364">
        <v>1998</v>
      </c>
      <c r="C364">
        <v>134189242145.41084</v>
      </c>
      <c r="D364">
        <v>28636706338.606628</v>
      </c>
      <c r="E364">
        <v>3712696</v>
      </c>
      <c r="F364" s="4">
        <v>1915</v>
      </c>
    </row>
    <row r="365" spans="1:6" x14ac:dyDescent="0.25">
      <c r="A365" t="s">
        <v>11</v>
      </c>
      <c r="B365">
        <v>1999</v>
      </c>
      <c r="C365">
        <v>148319215004.31006</v>
      </c>
      <c r="D365">
        <v>32667301496.666393</v>
      </c>
      <c r="E365">
        <v>3754786</v>
      </c>
      <c r="F365" s="4">
        <v>1890</v>
      </c>
    </row>
    <row r="366" spans="1:6" x14ac:dyDescent="0.25">
      <c r="A366" t="s">
        <v>11</v>
      </c>
      <c r="B366">
        <v>2000</v>
      </c>
      <c r="C366">
        <v>162266448871.09753</v>
      </c>
      <c r="D366">
        <v>34317825077.401943</v>
      </c>
      <c r="E366">
        <v>3805174</v>
      </c>
      <c r="F366" s="4">
        <v>1878</v>
      </c>
    </row>
    <row r="367" spans="1:6" x14ac:dyDescent="0.25">
      <c r="A367" t="s">
        <v>11</v>
      </c>
      <c r="B367">
        <v>2001</v>
      </c>
      <c r="C367">
        <v>170876017042.92136</v>
      </c>
      <c r="D367">
        <v>36315808153.017174</v>
      </c>
      <c r="E367">
        <v>3866243</v>
      </c>
      <c r="F367" s="4">
        <v>1855</v>
      </c>
    </row>
    <row r="368" spans="1:6" x14ac:dyDescent="0.25">
      <c r="A368" t="s">
        <v>11</v>
      </c>
      <c r="B368">
        <v>2002</v>
      </c>
      <c r="C368">
        <v>180956619566.62567</v>
      </c>
      <c r="D368">
        <v>38333378569.203499</v>
      </c>
      <c r="E368">
        <v>3931947</v>
      </c>
      <c r="F368" s="4">
        <v>1840</v>
      </c>
    </row>
    <row r="369" spans="1:6" x14ac:dyDescent="0.25">
      <c r="A369" t="s">
        <v>11</v>
      </c>
      <c r="B369">
        <v>2003</v>
      </c>
      <c r="C369">
        <v>186410360281.18076</v>
      </c>
      <c r="D369">
        <v>41390499321.670685</v>
      </c>
      <c r="E369">
        <v>3996521</v>
      </c>
      <c r="F369" s="4">
        <v>1809</v>
      </c>
    </row>
    <row r="370" spans="1:6" x14ac:dyDescent="0.25">
      <c r="A370" t="s">
        <v>11</v>
      </c>
      <c r="B370">
        <v>2004</v>
      </c>
      <c r="C370">
        <v>199064153976.92566</v>
      </c>
      <c r="D370">
        <v>45429331503.430443</v>
      </c>
      <c r="E370">
        <v>4070262</v>
      </c>
      <c r="F370" s="4">
        <v>1793</v>
      </c>
    </row>
    <row r="371" spans="1:6" x14ac:dyDescent="0.25">
      <c r="A371" t="s">
        <v>11</v>
      </c>
      <c r="B371">
        <v>2005</v>
      </c>
      <c r="C371">
        <v>210490003157.07449</v>
      </c>
      <c r="D371">
        <v>53078499769.564812</v>
      </c>
      <c r="E371">
        <v>4159914</v>
      </c>
      <c r="F371" s="4">
        <v>1794</v>
      </c>
    </row>
    <row r="372" spans="1:6" x14ac:dyDescent="0.25">
      <c r="A372" t="s">
        <v>11</v>
      </c>
      <c r="B372">
        <v>2006</v>
      </c>
      <c r="C372">
        <v>220988938640.08582</v>
      </c>
      <c r="D372">
        <v>56906209400.444885</v>
      </c>
      <c r="E372">
        <v>4273591</v>
      </c>
      <c r="F372" s="4">
        <v>1772</v>
      </c>
    </row>
    <row r="373" spans="1:6" x14ac:dyDescent="0.25">
      <c r="A373" t="s">
        <v>11</v>
      </c>
      <c r="B373">
        <v>2007</v>
      </c>
      <c r="C373">
        <v>232723709494.37134</v>
      </c>
      <c r="D373">
        <v>56923842888.81559</v>
      </c>
      <c r="E373">
        <v>4398942</v>
      </c>
      <c r="F373" s="4">
        <v>1745</v>
      </c>
    </row>
    <row r="374" spans="1:6" x14ac:dyDescent="0.25">
      <c r="A374" t="s">
        <v>11</v>
      </c>
      <c r="B374">
        <v>2008</v>
      </c>
      <c r="C374">
        <v>222288215958.44595</v>
      </c>
      <c r="D374">
        <v>50330897609.169502</v>
      </c>
      <c r="E374">
        <v>4489544</v>
      </c>
      <c r="F374" s="4">
        <v>1711</v>
      </c>
    </row>
    <row r="375" spans="1:6" x14ac:dyDescent="0.25">
      <c r="A375" t="s">
        <v>11</v>
      </c>
      <c r="B375">
        <v>2009</v>
      </c>
      <c r="C375">
        <v>210960893742.01044</v>
      </c>
      <c r="D375">
        <v>41811011364.294899</v>
      </c>
      <c r="E375">
        <v>4535375</v>
      </c>
      <c r="F375" s="4">
        <v>1661</v>
      </c>
    </row>
    <row r="376" spans="1:6" x14ac:dyDescent="0.25">
      <c r="A376" t="s">
        <v>11</v>
      </c>
      <c r="B376">
        <v>2010</v>
      </c>
      <c r="C376">
        <v>214511307254.18817</v>
      </c>
      <c r="D376">
        <v>35526672657.124588</v>
      </c>
      <c r="E376">
        <v>4560155</v>
      </c>
      <c r="F376" s="4">
        <v>1666</v>
      </c>
    </row>
    <row r="377" spans="1:6" x14ac:dyDescent="0.25">
      <c r="A377" t="s">
        <v>11</v>
      </c>
      <c r="B377">
        <v>2011</v>
      </c>
      <c r="C377">
        <v>218048113700.2753</v>
      </c>
      <c r="D377">
        <v>35510721190.296074</v>
      </c>
      <c r="E377">
        <v>4580084</v>
      </c>
      <c r="F377" s="4">
        <v>1668</v>
      </c>
    </row>
    <row r="378" spans="1:6" x14ac:dyDescent="0.25">
      <c r="A378" t="s">
        <v>11</v>
      </c>
      <c r="B378">
        <v>2012</v>
      </c>
      <c r="C378">
        <v>217178189023.25186</v>
      </c>
      <c r="D378">
        <v>41299835475.813255</v>
      </c>
      <c r="E378">
        <v>4599533</v>
      </c>
      <c r="F378" s="4">
        <v>1663</v>
      </c>
    </row>
    <row r="379" spans="1:6" x14ac:dyDescent="0.25">
      <c r="A379" t="s">
        <v>11</v>
      </c>
      <c r="B379">
        <v>2013</v>
      </c>
      <c r="C379">
        <v>221939116603.51398</v>
      </c>
      <c r="D379">
        <v>39574737095.64724</v>
      </c>
      <c r="E379">
        <v>4623816</v>
      </c>
      <c r="F379" s="4">
        <v>1677</v>
      </c>
    </row>
    <row r="380" spans="1:6" x14ac:dyDescent="0.25">
      <c r="A380" t="s">
        <v>11</v>
      </c>
      <c r="B380">
        <v>2014</v>
      </c>
      <c r="C380">
        <v>242659427386.7663</v>
      </c>
      <c r="D380">
        <v>47145953205.112083</v>
      </c>
      <c r="E380">
        <v>4657740</v>
      </c>
      <c r="F380" s="4">
        <v>1689</v>
      </c>
    </row>
    <row r="381" spans="1:6" x14ac:dyDescent="0.25">
      <c r="A381" t="s">
        <v>11</v>
      </c>
      <c r="B381">
        <v>2015</v>
      </c>
      <c r="C381">
        <v>302391428540.03467</v>
      </c>
      <c r="D381">
        <v>73355005396.567154</v>
      </c>
      <c r="E381">
        <v>4701957</v>
      </c>
      <c r="F381" s="4">
        <v>1682</v>
      </c>
    </row>
    <row r="382" spans="1:6" x14ac:dyDescent="0.25">
      <c r="A382" t="s">
        <v>11</v>
      </c>
      <c r="B382">
        <v>2016</v>
      </c>
      <c r="C382">
        <v>306088582898.58771</v>
      </c>
      <c r="D382">
        <v>102635119369.96008</v>
      </c>
      <c r="E382">
        <v>4755335</v>
      </c>
      <c r="F382" s="4">
        <v>1704</v>
      </c>
    </row>
    <row r="383" spans="1:6" x14ac:dyDescent="0.25">
      <c r="A383" t="s">
        <v>11</v>
      </c>
      <c r="B383">
        <v>2017</v>
      </c>
      <c r="C383">
        <v>336849348481.59705</v>
      </c>
      <c r="D383">
        <v>106457333583.4929</v>
      </c>
      <c r="E383">
        <v>4807388</v>
      </c>
      <c r="F383" s="4">
        <v>1727</v>
      </c>
    </row>
    <row r="384" spans="1:6" x14ac:dyDescent="0.25">
      <c r="A384" t="s">
        <v>11</v>
      </c>
      <c r="B384">
        <v>2018</v>
      </c>
      <c r="C384">
        <v>362262415044.57281</v>
      </c>
      <c r="D384">
        <v>96784663445.258926</v>
      </c>
      <c r="E384">
        <v>4867316</v>
      </c>
      <c r="F384" s="4">
        <v>1742</v>
      </c>
    </row>
    <row r="385" spans="1:6" x14ac:dyDescent="0.25">
      <c r="A385" t="s">
        <v>11</v>
      </c>
      <c r="B385">
        <v>2019</v>
      </c>
      <c r="C385">
        <v>380522434249.48297</v>
      </c>
      <c r="D385">
        <v>193258581177.18893</v>
      </c>
      <c r="E385">
        <v>4934340</v>
      </c>
      <c r="F385" s="4">
        <v>1742</v>
      </c>
    </row>
    <row r="386" spans="1:6" x14ac:dyDescent="0.25">
      <c r="A386" t="s">
        <v>11</v>
      </c>
      <c r="B386">
        <v>2020</v>
      </c>
      <c r="C386">
        <v>407759845120.69116</v>
      </c>
      <c r="D386">
        <v>161429710834.1456</v>
      </c>
      <c r="E386">
        <v>4985382</v>
      </c>
      <c r="F386" s="4">
        <v>1620</v>
      </c>
    </row>
    <row r="387" spans="1:6" x14ac:dyDescent="0.25">
      <c r="A387" t="s">
        <v>11</v>
      </c>
      <c r="B387">
        <v>2021</v>
      </c>
      <c r="C387">
        <v>474043708510.2915</v>
      </c>
      <c r="D387">
        <v>97871842950.908539</v>
      </c>
      <c r="E387">
        <v>5033164</v>
      </c>
      <c r="F387" s="4">
        <v>1627</v>
      </c>
    </row>
    <row r="388" spans="1:6" x14ac:dyDescent="0.25">
      <c r="A388" t="s">
        <v>11</v>
      </c>
      <c r="B388">
        <v>2022</v>
      </c>
      <c r="C388">
        <v>514903922802.96527</v>
      </c>
      <c r="D388">
        <v>101449955452.40073</v>
      </c>
      <c r="E388">
        <v>5165700</v>
      </c>
      <c r="F388" s="4">
        <v>1657</v>
      </c>
    </row>
    <row r="389" spans="1:6" x14ac:dyDescent="0.25">
      <c r="A389" t="s">
        <v>12</v>
      </c>
      <c r="B389">
        <v>1980</v>
      </c>
      <c r="C389">
        <v>1236010778605.1475</v>
      </c>
      <c r="D389">
        <v>270369122391.10101</v>
      </c>
      <c r="E389">
        <v>56433883</v>
      </c>
      <c r="F389" s="4">
        <v>1856</v>
      </c>
    </row>
    <row r="390" spans="1:6" x14ac:dyDescent="0.25">
      <c r="A390" t="s">
        <v>12</v>
      </c>
      <c r="B390">
        <v>1981</v>
      </c>
      <c r="C390">
        <v>1246445523219.8718</v>
      </c>
      <c r="D390">
        <v>266147564531.38422</v>
      </c>
      <c r="E390">
        <v>56501675</v>
      </c>
      <c r="F390" s="4">
        <v>1862</v>
      </c>
    </row>
    <row r="391" spans="1:6" x14ac:dyDescent="0.25">
      <c r="A391" t="s">
        <v>12</v>
      </c>
      <c r="B391">
        <v>1982</v>
      </c>
      <c r="C391">
        <v>1251600642977.9668</v>
      </c>
      <c r="D391">
        <v>257175051393.26627</v>
      </c>
      <c r="E391">
        <v>56543548</v>
      </c>
      <c r="F391" s="4">
        <v>1874</v>
      </c>
    </row>
    <row r="392" spans="1:6" x14ac:dyDescent="0.25">
      <c r="A392" t="s">
        <v>12</v>
      </c>
      <c r="B392">
        <v>1983</v>
      </c>
      <c r="C392">
        <v>1266234401259.9832</v>
      </c>
      <c r="D392">
        <v>253472981892.60767</v>
      </c>
      <c r="E392">
        <v>56564074</v>
      </c>
      <c r="F392" s="4">
        <v>1873</v>
      </c>
    </row>
    <row r="393" spans="1:6" x14ac:dyDescent="0.25">
      <c r="A393" t="s">
        <v>12</v>
      </c>
      <c r="B393">
        <v>1984</v>
      </c>
      <c r="C393">
        <v>1307081253688.915</v>
      </c>
      <c r="D393">
        <v>263571724952.07367</v>
      </c>
      <c r="E393">
        <v>56576718</v>
      </c>
      <c r="F393" s="4">
        <v>1863</v>
      </c>
    </row>
    <row r="394" spans="1:6" x14ac:dyDescent="0.25">
      <c r="A394" t="s">
        <v>12</v>
      </c>
      <c r="B394">
        <v>1985</v>
      </c>
      <c r="C394">
        <v>1343654507665.5083</v>
      </c>
      <c r="D394">
        <v>266296207082.85416</v>
      </c>
      <c r="E394">
        <v>56593071</v>
      </c>
      <c r="F394" s="4">
        <v>1859</v>
      </c>
    </row>
    <row r="395" spans="1:6" x14ac:dyDescent="0.25">
      <c r="A395" t="s">
        <v>12</v>
      </c>
      <c r="B395">
        <v>1986</v>
      </c>
      <c r="C395">
        <v>1382082648621.1873</v>
      </c>
      <c r="D395">
        <v>273711024036.23074</v>
      </c>
      <c r="E395">
        <v>56596155</v>
      </c>
      <c r="F395" s="4">
        <v>1868</v>
      </c>
    </row>
    <row r="396" spans="1:6" x14ac:dyDescent="0.25">
      <c r="A396" t="s">
        <v>12</v>
      </c>
      <c r="B396">
        <v>1987</v>
      </c>
      <c r="C396">
        <v>1426198182611.0579</v>
      </c>
      <c r="D396">
        <v>286903176686.27759</v>
      </c>
      <c r="E396">
        <v>56601931</v>
      </c>
      <c r="F396" s="4">
        <v>1887</v>
      </c>
    </row>
    <row r="397" spans="1:6" x14ac:dyDescent="0.25">
      <c r="A397" t="s">
        <v>12</v>
      </c>
      <c r="B397">
        <v>1988</v>
      </c>
      <c r="C397">
        <v>1486018315701.7673</v>
      </c>
      <c r="D397">
        <v>307526935438.76196</v>
      </c>
      <c r="E397">
        <v>56629288</v>
      </c>
      <c r="F397" s="4">
        <v>1890</v>
      </c>
    </row>
    <row r="398" spans="1:6" x14ac:dyDescent="0.25">
      <c r="A398" t="s">
        <v>12</v>
      </c>
      <c r="B398">
        <v>1989</v>
      </c>
      <c r="C398">
        <v>1536370315136.6035</v>
      </c>
      <c r="D398">
        <v>321011228380.47485</v>
      </c>
      <c r="E398">
        <v>56671781</v>
      </c>
      <c r="F398" s="4">
        <v>1875</v>
      </c>
    </row>
    <row r="399" spans="1:6" x14ac:dyDescent="0.25">
      <c r="A399" t="s">
        <v>12</v>
      </c>
      <c r="B399">
        <v>1990</v>
      </c>
      <c r="C399">
        <v>1566879171365.3611</v>
      </c>
      <c r="D399">
        <v>334900368152.3092</v>
      </c>
      <c r="E399">
        <v>56719240</v>
      </c>
      <c r="F399" s="4">
        <v>1864</v>
      </c>
    </row>
    <row r="400" spans="1:6" x14ac:dyDescent="0.25">
      <c r="A400" t="s">
        <v>12</v>
      </c>
      <c r="B400">
        <v>1991</v>
      </c>
      <c r="C400">
        <v>1590984785718.9988</v>
      </c>
      <c r="D400">
        <v>339244358540.48071</v>
      </c>
      <c r="E400">
        <v>56758521</v>
      </c>
      <c r="F400" s="4">
        <v>1857</v>
      </c>
    </row>
    <row r="401" spans="1:6" x14ac:dyDescent="0.25">
      <c r="A401" t="s">
        <v>12</v>
      </c>
      <c r="B401">
        <v>1992</v>
      </c>
      <c r="C401">
        <v>1604257981628.6287</v>
      </c>
      <c r="D401">
        <v>334367135147.56195</v>
      </c>
      <c r="E401">
        <v>56797087</v>
      </c>
      <c r="F401" s="4">
        <v>1860</v>
      </c>
    </row>
    <row r="402" spans="1:6" x14ac:dyDescent="0.25">
      <c r="A402" t="s">
        <v>12</v>
      </c>
      <c r="B402">
        <v>1993</v>
      </c>
      <c r="C402">
        <v>1590576776777.1394</v>
      </c>
      <c r="D402">
        <v>296856712246.18304</v>
      </c>
      <c r="E402">
        <v>56831821</v>
      </c>
      <c r="F402" s="4">
        <v>1860</v>
      </c>
    </row>
    <row r="403" spans="1:6" x14ac:dyDescent="0.25">
      <c r="A403" t="s">
        <v>12</v>
      </c>
      <c r="B403">
        <v>1994</v>
      </c>
      <c r="C403">
        <v>1624790459646.0884</v>
      </c>
      <c r="D403">
        <v>298987468510.39362</v>
      </c>
      <c r="E403">
        <v>56843400</v>
      </c>
      <c r="F403" s="4">
        <v>1854</v>
      </c>
    </row>
    <row r="404" spans="1:6" x14ac:dyDescent="0.25">
      <c r="A404" t="s">
        <v>12</v>
      </c>
      <c r="B404">
        <v>1995</v>
      </c>
      <c r="C404">
        <v>1671695507645.7979</v>
      </c>
      <c r="D404">
        <v>320022448244.55615</v>
      </c>
      <c r="E404">
        <v>56844303</v>
      </c>
      <c r="F404" s="4">
        <v>1856</v>
      </c>
    </row>
    <row r="405" spans="1:6" x14ac:dyDescent="0.25">
      <c r="A405" t="s">
        <v>12</v>
      </c>
      <c r="B405">
        <v>1996</v>
      </c>
      <c r="C405">
        <v>1694189587811.1895</v>
      </c>
      <c r="D405">
        <v>327096040055.98541</v>
      </c>
      <c r="E405">
        <v>56860281</v>
      </c>
      <c r="F405" s="4">
        <v>1866</v>
      </c>
    </row>
    <row r="406" spans="1:6" x14ac:dyDescent="0.25">
      <c r="A406" t="s">
        <v>12</v>
      </c>
      <c r="B406">
        <v>1997</v>
      </c>
      <c r="C406">
        <v>1726814956377.6675</v>
      </c>
      <c r="D406">
        <v>334410211985.54047</v>
      </c>
      <c r="E406">
        <v>56890372</v>
      </c>
      <c r="F406" s="4">
        <v>1860</v>
      </c>
    </row>
    <row r="407" spans="1:6" x14ac:dyDescent="0.25">
      <c r="A407" t="s">
        <v>12</v>
      </c>
      <c r="B407">
        <v>1998</v>
      </c>
      <c r="C407">
        <v>1757973143930.5344</v>
      </c>
      <c r="D407">
        <v>347676568857.71228</v>
      </c>
      <c r="E407">
        <v>56906744</v>
      </c>
      <c r="F407" s="4">
        <v>1873</v>
      </c>
    </row>
    <row r="408" spans="1:6" x14ac:dyDescent="0.25">
      <c r="A408" t="s">
        <v>12</v>
      </c>
      <c r="B408">
        <v>1999</v>
      </c>
      <c r="C408">
        <v>1787471785343.8389</v>
      </c>
      <c r="D408">
        <v>363703634566.0564</v>
      </c>
      <c r="E408">
        <v>56916317</v>
      </c>
      <c r="F408" s="4">
        <v>1870</v>
      </c>
    </row>
    <row r="409" spans="1:6" x14ac:dyDescent="0.25">
      <c r="A409" t="s">
        <v>12</v>
      </c>
      <c r="B409">
        <v>2000</v>
      </c>
      <c r="C409">
        <v>1856863206832.4014</v>
      </c>
      <c r="D409">
        <v>388806199508.53918</v>
      </c>
      <c r="E409">
        <v>56942108</v>
      </c>
      <c r="F409" s="4">
        <v>1850</v>
      </c>
    </row>
    <row r="410" spans="1:6" x14ac:dyDescent="0.25">
      <c r="A410" t="s">
        <v>12</v>
      </c>
      <c r="B410">
        <v>2001</v>
      </c>
      <c r="C410">
        <v>1894119928516.2102</v>
      </c>
      <c r="D410">
        <v>398198677699.42627</v>
      </c>
      <c r="E410">
        <v>56974100</v>
      </c>
      <c r="F410" s="4">
        <v>1838</v>
      </c>
    </row>
    <row r="411" spans="1:6" x14ac:dyDescent="0.25">
      <c r="A411" t="s">
        <v>12</v>
      </c>
      <c r="B411">
        <v>2002</v>
      </c>
      <c r="C411">
        <v>1899232719248.0149</v>
      </c>
      <c r="D411">
        <v>412598144582.38092</v>
      </c>
      <c r="E411">
        <v>57059007</v>
      </c>
      <c r="F411" s="4">
        <v>1826</v>
      </c>
    </row>
    <row r="412" spans="1:6" x14ac:dyDescent="0.25">
      <c r="A412" t="s">
        <v>12</v>
      </c>
      <c r="B412">
        <v>2003</v>
      </c>
      <c r="C412">
        <v>1900496731808.6594</v>
      </c>
      <c r="D412">
        <v>408940896073.9649</v>
      </c>
      <c r="E412">
        <v>57313203</v>
      </c>
      <c r="F412" s="4">
        <v>1815</v>
      </c>
    </row>
    <row r="413" spans="1:6" x14ac:dyDescent="0.25">
      <c r="A413" t="s">
        <v>12</v>
      </c>
      <c r="B413">
        <v>2004</v>
      </c>
      <c r="C413">
        <v>1928510465520.8994</v>
      </c>
      <c r="D413">
        <v>415724708637.15942</v>
      </c>
      <c r="E413">
        <v>57685327</v>
      </c>
      <c r="F413" s="4">
        <v>1815</v>
      </c>
    </row>
    <row r="414" spans="1:6" x14ac:dyDescent="0.25">
      <c r="A414" t="s">
        <v>12</v>
      </c>
      <c r="B414">
        <v>2005</v>
      </c>
      <c r="C414">
        <v>1943213636038.8662</v>
      </c>
      <c r="D414">
        <v>422689930996.02271</v>
      </c>
      <c r="E414">
        <v>57969484</v>
      </c>
      <c r="F414" s="4">
        <v>1811</v>
      </c>
    </row>
    <row r="415" spans="1:6" x14ac:dyDescent="0.25">
      <c r="A415" t="s">
        <v>12</v>
      </c>
      <c r="B415">
        <v>2006</v>
      </c>
      <c r="C415">
        <v>1978181374934.645</v>
      </c>
      <c r="D415">
        <v>433720195559.66101</v>
      </c>
      <c r="E415">
        <v>58143979</v>
      </c>
      <c r="F415" s="4">
        <v>1812</v>
      </c>
    </row>
    <row r="416" spans="1:6" x14ac:dyDescent="0.25">
      <c r="A416" t="s">
        <v>12</v>
      </c>
      <c r="B416">
        <v>2007</v>
      </c>
      <c r="C416">
        <v>2007108163418.5056</v>
      </c>
      <c r="D416">
        <v>440627331590.16144</v>
      </c>
      <c r="E416">
        <v>58438310</v>
      </c>
      <c r="F416" s="4">
        <v>1818</v>
      </c>
    </row>
    <row r="417" spans="1:6" x14ac:dyDescent="0.25">
      <c r="A417" t="s">
        <v>12</v>
      </c>
      <c r="B417">
        <v>2008</v>
      </c>
      <c r="C417">
        <v>1986572667525.9834</v>
      </c>
      <c r="D417">
        <v>426038110265.08765</v>
      </c>
      <c r="E417">
        <v>58826731</v>
      </c>
      <c r="F417" s="4">
        <v>1807</v>
      </c>
    </row>
    <row r="418" spans="1:6" x14ac:dyDescent="0.25">
      <c r="A418" t="s">
        <v>12</v>
      </c>
      <c r="B418">
        <v>2009</v>
      </c>
      <c r="C418">
        <v>1881181927545.9675</v>
      </c>
      <c r="D418">
        <v>381796004154.16736</v>
      </c>
      <c r="E418">
        <v>59095365</v>
      </c>
      <c r="F418" s="4">
        <v>1775</v>
      </c>
    </row>
    <row r="419" spans="1:6" x14ac:dyDescent="0.25">
      <c r="A419" t="s">
        <v>12</v>
      </c>
      <c r="B419">
        <v>2010</v>
      </c>
      <c r="C419">
        <v>1909947188705.1592</v>
      </c>
      <c r="D419">
        <v>381636809025.59467</v>
      </c>
      <c r="E419">
        <v>59277417</v>
      </c>
      <c r="F419" s="4">
        <v>1777</v>
      </c>
    </row>
    <row r="420" spans="1:6" x14ac:dyDescent="0.25">
      <c r="A420" t="s">
        <v>12</v>
      </c>
      <c r="B420">
        <v>2011</v>
      </c>
      <c r="C420">
        <v>1923230167189.9456</v>
      </c>
      <c r="D420">
        <v>375795701856.50989</v>
      </c>
      <c r="E420">
        <v>59379449</v>
      </c>
      <c r="F420" s="4">
        <v>1773</v>
      </c>
    </row>
    <row r="421" spans="1:6" x14ac:dyDescent="0.25">
      <c r="A421" t="s">
        <v>12</v>
      </c>
      <c r="B421">
        <v>2012</v>
      </c>
      <c r="C421">
        <v>1863124631879.355</v>
      </c>
      <c r="D421">
        <v>338813691126.36853</v>
      </c>
      <c r="E421">
        <v>59539717</v>
      </c>
      <c r="F421" s="4">
        <v>1734</v>
      </c>
    </row>
    <row r="422" spans="1:6" x14ac:dyDescent="0.25">
      <c r="A422" t="s">
        <v>12</v>
      </c>
      <c r="B422">
        <v>2013</v>
      </c>
      <c r="C422">
        <v>1829252559153.3262</v>
      </c>
      <c r="D422">
        <v>316014300751.29944</v>
      </c>
      <c r="E422">
        <v>60233948</v>
      </c>
      <c r="F422" s="4">
        <v>1719</v>
      </c>
    </row>
    <row r="423" spans="1:6" x14ac:dyDescent="0.25">
      <c r="A423" t="s">
        <v>12</v>
      </c>
      <c r="B423">
        <v>2014</v>
      </c>
      <c r="C423">
        <v>1829227175717.4143</v>
      </c>
      <c r="D423">
        <v>309188007158.54865</v>
      </c>
      <c r="E423">
        <v>60789140</v>
      </c>
      <c r="F423" s="4">
        <v>1716</v>
      </c>
    </row>
    <row r="424" spans="1:6" x14ac:dyDescent="0.25">
      <c r="A424" t="s">
        <v>12</v>
      </c>
      <c r="B424">
        <v>2015</v>
      </c>
      <c r="C424">
        <v>1845428048839.1006</v>
      </c>
      <c r="D424">
        <v>315216051716.52325</v>
      </c>
      <c r="E424">
        <v>60730582</v>
      </c>
      <c r="F424" s="4">
        <v>1717</v>
      </c>
    </row>
    <row r="425" spans="1:6" x14ac:dyDescent="0.25">
      <c r="A425" t="s">
        <v>12</v>
      </c>
      <c r="B425">
        <v>2016</v>
      </c>
      <c r="C425">
        <v>1868241619898.4246</v>
      </c>
      <c r="D425">
        <v>327342905564.63654</v>
      </c>
      <c r="E425">
        <v>60627498</v>
      </c>
      <c r="F425" s="4">
        <v>1722</v>
      </c>
    </row>
    <row r="426" spans="1:6" x14ac:dyDescent="0.25">
      <c r="A426" t="s">
        <v>12</v>
      </c>
      <c r="B426">
        <v>2017</v>
      </c>
      <c r="C426">
        <v>1898202609756.9202</v>
      </c>
      <c r="D426">
        <v>338011541044.26898</v>
      </c>
      <c r="E426">
        <v>60536709</v>
      </c>
      <c r="F426" s="4">
        <v>1719</v>
      </c>
    </row>
    <row r="427" spans="1:6" x14ac:dyDescent="0.25">
      <c r="A427" t="s">
        <v>12</v>
      </c>
      <c r="B427">
        <v>2018</v>
      </c>
      <c r="C427">
        <v>1913894038939.7473</v>
      </c>
      <c r="D427">
        <v>349099999559.02057</v>
      </c>
      <c r="E427">
        <v>60421760</v>
      </c>
      <c r="F427" s="4">
        <v>1719</v>
      </c>
    </row>
    <row r="428" spans="1:6" x14ac:dyDescent="0.25">
      <c r="A428" t="s">
        <v>12</v>
      </c>
      <c r="B428">
        <v>2019</v>
      </c>
      <c r="C428">
        <v>1922107755102.4541</v>
      </c>
      <c r="D428">
        <v>354613290049.44128</v>
      </c>
      <c r="E428">
        <v>59729081</v>
      </c>
      <c r="F428" s="4">
        <v>1710</v>
      </c>
    </row>
    <row r="429" spans="1:6" x14ac:dyDescent="0.25">
      <c r="A429" t="s">
        <v>12</v>
      </c>
      <c r="B429">
        <v>2020</v>
      </c>
      <c r="C429">
        <v>1751650987476.4873</v>
      </c>
      <c r="D429">
        <v>329412975911.78149</v>
      </c>
      <c r="E429">
        <v>59438851</v>
      </c>
      <c r="F429" s="4">
        <v>1543</v>
      </c>
    </row>
    <row r="430" spans="1:6" x14ac:dyDescent="0.25">
      <c r="A430" t="s">
        <v>12</v>
      </c>
      <c r="B430">
        <v>2021</v>
      </c>
      <c r="C430">
        <v>1908092024347.8508</v>
      </c>
      <c r="D430">
        <v>400379501842.33929</v>
      </c>
      <c r="E430">
        <v>59133173</v>
      </c>
      <c r="F430" s="4">
        <v>1686</v>
      </c>
    </row>
    <row r="431" spans="1:6" x14ac:dyDescent="0.25">
      <c r="A431" t="s">
        <v>12</v>
      </c>
      <c r="B431">
        <v>2022</v>
      </c>
      <c r="C431">
        <v>1997042745688.2224</v>
      </c>
      <c r="D431">
        <v>430552668288.96075</v>
      </c>
      <c r="E431">
        <v>59013667</v>
      </c>
      <c r="F431" s="4">
        <v>1726</v>
      </c>
    </row>
    <row r="432" spans="1:6" x14ac:dyDescent="0.25">
      <c r="A432" t="s">
        <v>13</v>
      </c>
      <c r="B432">
        <v>1980</v>
      </c>
      <c r="C432">
        <v>15551149030.013662</v>
      </c>
      <c r="D432">
        <v>3013226203.4882793</v>
      </c>
      <c r="E432">
        <v>364150</v>
      </c>
      <c r="F432" s="4">
        <v>1718</v>
      </c>
    </row>
    <row r="433" spans="1:6" x14ac:dyDescent="0.25">
      <c r="A433" t="s">
        <v>13</v>
      </c>
      <c r="B433">
        <v>1981</v>
      </c>
      <c r="C433">
        <v>15465469116.060928</v>
      </c>
      <c r="D433">
        <v>2789824673.4480448</v>
      </c>
      <c r="E433">
        <v>365225</v>
      </c>
      <c r="F433" s="4">
        <v>1693</v>
      </c>
    </row>
    <row r="434" spans="1:6" x14ac:dyDescent="0.25">
      <c r="A434" t="s">
        <v>13</v>
      </c>
      <c r="B434">
        <v>1982</v>
      </c>
      <c r="C434">
        <v>15640430422.809366</v>
      </c>
      <c r="D434">
        <v>2776665850.5652323</v>
      </c>
      <c r="E434">
        <v>365525</v>
      </c>
      <c r="F434" s="4">
        <v>1675</v>
      </c>
    </row>
    <row r="435" spans="1:6" x14ac:dyDescent="0.25">
      <c r="A435" t="s">
        <v>13</v>
      </c>
      <c r="B435">
        <v>1983</v>
      </c>
      <c r="C435">
        <v>16107934774.403116</v>
      </c>
      <c r="D435">
        <v>2450009722.3847637</v>
      </c>
      <c r="E435">
        <v>365622</v>
      </c>
      <c r="F435" s="4">
        <v>1669</v>
      </c>
    </row>
    <row r="436" spans="1:6" x14ac:dyDescent="0.25">
      <c r="A436" t="s">
        <v>13</v>
      </c>
      <c r="B436">
        <v>1984</v>
      </c>
      <c r="C436">
        <v>17104522552.533195</v>
      </c>
      <c r="D436">
        <v>2453008735.7281232</v>
      </c>
      <c r="E436">
        <v>365998</v>
      </c>
      <c r="F436" s="4">
        <v>1655</v>
      </c>
    </row>
    <row r="437" spans="1:6" x14ac:dyDescent="0.25">
      <c r="A437" t="s">
        <v>13</v>
      </c>
      <c r="B437">
        <v>1985</v>
      </c>
      <c r="C437">
        <v>17582030272.34882</v>
      </c>
      <c r="D437">
        <v>2219794673.6832013</v>
      </c>
      <c r="E437">
        <v>366706</v>
      </c>
      <c r="F437" s="4">
        <v>1660</v>
      </c>
    </row>
    <row r="438" spans="1:6" x14ac:dyDescent="0.25">
      <c r="A438" t="s">
        <v>13</v>
      </c>
      <c r="B438">
        <v>1986</v>
      </c>
      <c r="C438">
        <v>19337409478.325771</v>
      </c>
      <c r="D438">
        <v>3044197146.3171854</v>
      </c>
      <c r="E438">
        <v>368355</v>
      </c>
      <c r="F438" s="4">
        <v>1651</v>
      </c>
    </row>
    <row r="439" spans="1:6" x14ac:dyDescent="0.25">
      <c r="A439" t="s">
        <v>13</v>
      </c>
      <c r="B439">
        <v>1987</v>
      </c>
      <c r="C439">
        <v>20101425602.374599</v>
      </c>
      <c r="D439">
        <v>3584427848.8656225</v>
      </c>
      <c r="E439">
        <v>370750</v>
      </c>
      <c r="F439" s="4">
        <v>1650</v>
      </c>
    </row>
    <row r="440" spans="1:6" x14ac:dyDescent="0.25">
      <c r="A440" t="s">
        <v>13</v>
      </c>
      <c r="B440">
        <v>1988</v>
      </c>
      <c r="C440">
        <v>21802666126.853504</v>
      </c>
      <c r="D440">
        <v>3995485732.1488256</v>
      </c>
      <c r="E440">
        <v>373450</v>
      </c>
      <c r="F440" s="4">
        <v>1670</v>
      </c>
    </row>
    <row r="441" spans="1:6" x14ac:dyDescent="0.25">
      <c r="A441" t="s">
        <v>13</v>
      </c>
      <c r="B441">
        <v>1989</v>
      </c>
      <c r="C441">
        <v>23938905603.76952</v>
      </c>
      <c r="D441">
        <v>4271183042.7757788</v>
      </c>
      <c r="E441">
        <v>377100</v>
      </c>
      <c r="F441" s="4">
        <v>1659</v>
      </c>
    </row>
    <row r="442" spans="1:6" x14ac:dyDescent="0.25">
      <c r="A442" t="s">
        <v>13</v>
      </c>
      <c r="B442">
        <v>1990</v>
      </c>
      <c r="C442">
        <v>25212438894.528503</v>
      </c>
      <c r="D442">
        <v>4415332067.0386696</v>
      </c>
      <c r="E442">
        <v>381850</v>
      </c>
      <c r="F442" s="4">
        <v>1659</v>
      </c>
    </row>
    <row r="443" spans="1:6" x14ac:dyDescent="0.25">
      <c r="A443" t="s">
        <v>13</v>
      </c>
      <c r="B443">
        <v>1991</v>
      </c>
      <c r="C443">
        <v>27391849518.018738</v>
      </c>
      <c r="D443">
        <v>5111099834.1593723</v>
      </c>
      <c r="E443">
        <v>387000</v>
      </c>
      <c r="F443" s="4">
        <v>1641</v>
      </c>
    </row>
    <row r="444" spans="1:6" x14ac:dyDescent="0.25">
      <c r="A444" t="s">
        <v>13</v>
      </c>
      <c r="B444">
        <v>1992</v>
      </c>
      <c r="C444">
        <v>27890285979.490219</v>
      </c>
      <c r="D444">
        <v>4340589731.1617165</v>
      </c>
      <c r="E444">
        <v>392175</v>
      </c>
      <c r="F444" s="4">
        <v>1620</v>
      </c>
    </row>
    <row r="445" spans="1:6" x14ac:dyDescent="0.25">
      <c r="A445" t="s">
        <v>13</v>
      </c>
      <c r="B445">
        <v>1993</v>
      </c>
      <c r="C445">
        <v>29061859473.652325</v>
      </c>
      <c r="D445">
        <v>5234398892.1816378</v>
      </c>
      <c r="E445">
        <v>397475</v>
      </c>
      <c r="F445" s="4">
        <v>1627</v>
      </c>
    </row>
    <row r="446" spans="1:6" x14ac:dyDescent="0.25">
      <c r="A446" t="s">
        <v>13</v>
      </c>
      <c r="B446">
        <v>1994</v>
      </c>
      <c r="C446">
        <v>30172289931.43787</v>
      </c>
      <c r="D446">
        <v>5236641217.7335901</v>
      </c>
      <c r="E446">
        <v>402925</v>
      </c>
      <c r="F446" s="4">
        <v>1605</v>
      </c>
    </row>
    <row r="447" spans="1:6" x14ac:dyDescent="0.25">
      <c r="A447" t="s">
        <v>13</v>
      </c>
      <c r="B447">
        <v>1995</v>
      </c>
      <c r="C447">
        <v>30604417464.514042</v>
      </c>
      <c r="D447">
        <v>5157191218.6617155</v>
      </c>
      <c r="E447">
        <v>408625</v>
      </c>
      <c r="F447" s="4">
        <v>1615</v>
      </c>
    </row>
    <row r="448" spans="1:6" x14ac:dyDescent="0.25">
      <c r="A448" t="s">
        <v>13</v>
      </c>
      <c r="B448">
        <v>1996</v>
      </c>
      <c r="C448">
        <v>31032290015.654671</v>
      </c>
      <c r="D448">
        <v>5043607055.5097628</v>
      </c>
      <c r="E448">
        <v>414225</v>
      </c>
      <c r="F448" s="4">
        <v>1593</v>
      </c>
    </row>
    <row r="449" spans="1:6" x14ac:dyDescent="0.25">
      <c r="A449" t="s">
        <v>13</v>
      </c>
      <c r="B449">
        <v>1997</v>
      </c>
      <c r="C449">
        <v>32714188401.911308</v>
      </c>
      <c r="D449">
        <v>5550837516.1523399</v>
      </c>
      <c r="E449">
        <v>419450</v>
      </c>
      <c r="F449" s="4">
        <v>1600</v>
      </c>
    </row>
    <row r="450" spans="1:6" x14ac:dyDescent="0.25">
      <c r="A450" t="s">
        <v>13</v>
      </c>
      <c r="B450">
        <v>1998</v>
      </c>
      <c r="C450">
        <v>34897700894.558182</v>
      </c>
      <c r="D450">
        <v>5888900546.3613243</v>
      </c>
      <c r="E450">
        <v>424700</v>
      </c>
      <c r="F450" s="4">
        <v>1599</v>
      </c>
    </row>
    <row r="451" spans="1:6" x14ac:dyDescent="0.25">
      <c r="A451" t="s">
        <v>13</v>
      </c>
      <c r="B451">
        <v>1999</v>
      </c>
      <c r="C451">
        <v>37750651303.918335</v>
      </c>
      <c r="D451">
        <v>7170745198.18398</v>
      </c>
      <c r="E451">
        <v>430475</v>
      </c>
      <c r="F451" s="4">
        <v>1598</v>
      </c>
    </row>
    <row r="452" spans="1:6" x14ac:dyDescent="0.25">
      <c r="A452" t="s">
        <v>13</v>
      </c>
      <c r="B452">
        <v>2000</v>
      </c>
      <c r="C452">
        <v>40369840661.378494</v>
      </c>
      <c r="D452">
        <v>6944126080.7609329</v>
      </c>
      <c r="E452">
        <v>436300</v>
      </c>
      <c r="F452" s="4">
        <v>1605</v>
      </c>
    </row>
    <row r="453" spans="1:6" x14ac:dyDescent="0.25">
      <c r="A453" t="s">
        <v>13</v>
      </c>
      <c r="B453">
        <v>2001</v>
      </c>
      <c r="C453">
        <v>41610952875.960526</v>
      </c>
      <c r="D453">
        <v>7410281264.6796827</v>
      </c>
      <c r="E453">
        <v>441525</v>
      </c>
      <c r="F453" s="4">
        <v>1593</v>
      </c>
    </row>
    <row r="454" spans="1:6" x14ac:dyDescent="0.25">
      <c r="A454" t="s">
        <v>13</v>
      </c>
      <c r="B454">
        <v>2002</v>
      </c>
      <c r="C454">
        <v>42953079582.156616</v>
      </c>
      <c r="D454">
        <v>7442061042.4058542</v>
      </c>
      <c r="E454">
        <v>446175</v>
      </c>
      <c r="F454" s="4">
        <v>1588</v>
      </c>
    </row>
    <row r="455" spans="1:6" x14ac:dyDescent="0.25">
      <c r="A455" t="s">
        <v>13</v>
      </c>
      <c r="B455">
        <v>2003</v>
      </c>
      <c r="C455">
        <v>44078183347.920677</v>
      </c>
      <c r="D455">
        <v>7598267143.2511673</v>
      </c>
      <c r="E455">
        <v>451630</v>
      </c>
      <c r="F455" s="4">
        <v>1586</v>
      </c>
    </row>
    <row r="456" spans="1:6" x14ac:dyDescent="0.25">
      <c r="A456" t="s">
        <v>13</v>
      </c>
      <c r="B456">
        <v>2004</v>
      </c>
      <c r="C456">
        <v>45943524157.461693</v>
      </c>
      <c r="D456">
        <v>8081319098.981246</v>
      </c>
      <c r="E456">
        <v>458095</v>
      </c>
      <c r="F456" s="4">
        <v>1586</v>
      </c>
    </row>
    <row r="457" spans="1:6" x14ac:dyDescent="0.25">
      <c r="A457" t="s">
        <v>13</v>
      </c>
      <c r="B457">
        <v>2005</v>
      </c>
      <c r="C457">
        <v>47084244317.161301</v>
      </c>
      <c r="D457">
        <v>7703569902.1874962</v>
      </c>
      <c r="E457">
        <v>465158</v>
      </c>
      <c r="F457" s="4">
        <v>1567</v>
      </c>
    </row>
    <row r="458" spans="1:6" x14ac:dyDescent="0.25">
      <c r="A458" t="s">
        <v>13</v>
      </c>
      <c r="B458">
        <v>2006</v>
      </c>
      <c r="C458">
        <v>49917169128.358566</v>
      </c>
      <c r="D458">
        <v>8029269630.2562456</v>
      </c>
      <c r="E458">
        <v>472637</v>
      </c>
      <c r="F458" s="4">
        <v>1567</v>
      </c>
    </row>
    <row r="459" spans="1:6" x14ac:dyDescent="0.25">
      <c r="A459" t="s">
        <v>13</v>
      </c>
      <c r="B459">
        <v>2007</v>
      </c>
      <c r="C459">
        <v>53959794734.691376</v>
      </c>
      <c r="D459">
        <v>9012785127.5089798</v>
      </c>
      <c r="E459">
        <v>479993</v>
      </c>
      <c r="F459" s="4">
        <v>1581</v>
      </c>
    </row>
    <row r="460" spans="1:6" x14ac:dyDescent="0.25">
      <c r="A460" t="s">
        <v>13</v>
      </c>
      <c r="B460">
        <v>2008</v>
      </c>
      <c r="C460">
        <v>53797820276.327705</v>
      </c>
      <c r="D460">
        <v>10002540525.258589</v>
      </c>
      <c r="E460">
        <v>488650</v>
      </c>
      <c r="F460" s="4">
        <v>1581</v>
      </c>
    </row>
    <row r="461" spans="1:6" x14ac:dyDescent="0.25">
      <c r="A461" t="s">
        <v>13</v>
      </c>
      <c r="B461">
        <v>2009</v>
      </c>
      <c r="C461">
        <v>52055333610.139816</v>
      </c>
      <c r="D461">
        <v>8620754280.7871056</v>
      </c>
      <c r="E461">
        <v>497783</v>
      </c>
      <c r="F461" s="4">
        <v>1518</v>
      </c>
    </row>
    <row r="462" spans="1:6" x14ac:dyDescent="0.25">
      <c r="A462" t="s">
        <v>13</v>
      </c>
      <c r="B462">
        <v>2010</v>
      </c>
      <c r="C462">
        <v>54012829450.863258</v>
      </c>
      <c r="D462">
        <v>8672126946.6488247</v>
      </c>
      <c r="E462">
        <v>506953</v>
      </c>
      <c r="F462" s="4">
        <v>1521</v>
      </c>
    </row>
    <row r="463" spans="1:6" x14ac:dyDescent="0.25">
      <c r="A463" t="s">
        <v>13</v>
      </c>
      <c r="B463">
        <v>2011</v>
      </c>
      <c r="C463">
        <v>54576884723.71209</v>
      </c>
      <c r="D463">
        <v>10185432630.149216</v>
      </c>
      <c r="E463">
        <v>518347</v>
      </c>
      <c r="F463" s="4">
        <v>1520</v>
      </c>
    </row>
    <row r="464" spans="1:6" x14ac:dyDescent="0.25">
      <c r="A464" t="s">
        <v>13</v>
      </c>
      <c r="B464">
        <v>2012</v>
      </c>
      <c r="C464">
        <v>55477349852.562866</v>
      </c>
      <c r="D464">
        <v>10362416578.897263</v>
      </c>
      <c r="E464">
        <v>530946</v>
      </c>
      <c r="F464" s="4">
        <v>1514</v>
      </c>
    </row>
    <row r="465" spans="1:6" x14ac:dyDescent="0.25">
      <c r="A465" t="s">
        <v>13</v>
      </c>
      <c r="B465">
        <v>2013</v>
      </c>
      <c r="C465">
        <v>57236975164.372238</v>
      </c>
      <c r="D465">
        <v>10438928587.834761</v>
      </c>
      <c r="E465">
        <v>543360</v>
      </c>
      <c r="F465" s="4">
        <v>1506</v>
      </c>
    </row>
    <row r="466" spans="1:6" x14ac:dyDescent="0.25">
      <c r="A466" t="s">
        <v>13</v>
      </c>
      <c r="B466">
        <v>2014</v>
      </c>
      <c r="C466">
        <v>58738350255.759735</v>
      </c>
      <c r="D466">
        <v>11329247221.300776</v>
      </c>
      <c r="E466">
        <v>556319</v>
      </c>
      <c r="F466" s="4">
        <v>1512</v>
      </c>
    </row>
    <row r="467" spans="1:6" x14ac:dyDescent="0.25">
      <c r="A467" t="s">
        <v>13</v>
      </c>
      <c r="B467">
        <v>2015</v>
      </c>
      <c r="C467">
        <v>60071584216.137466</v>
      </c>
      <c r="D467">
        <v>10398064118.56015</v>
      </c>
      <c r="E467">
        <v>569604</v>
      </c>
      <c r="F467" s="4">
        <v>1519</v>
      </c>
    </row>
    <row r="468" spans="1:6" x14ac:dyDescent="0.25">
      <c r="A468" t="s">
        <v>13</v>
      </c>
      <c r="B468">
        <v>2016</v>
      </c>
      <c r="C468">
        <v>63062062076.829262</v>
      </c>
      <c r="D468">
        <v>10685783001.357023</v>
      </c>
      <c r="E468">
        <v>582014</v>
      </c>
      <c r="F468" s="4">
        <v>1518</v>
      </c>
    </row>
    <row r="469" spans="1:6" x14ac:dyDescent="0.25">
      <c r="A469" t="s">
        <v>13</v>
      </c>
      <c r="B469">
        <v>2017</v>
      </c>
      <c r="C469">
        <v>63892707778.498795</v>
      </c>
      <c r="D469">
        <v>11256729458.769522</v>
      </c>
      <c r="E469">
        <v>596336</v>
      </c>
      <c r="F469" s="4">
        <v>1508</v>
      </c>
    </row>
    <row r="470" spans="1:6" x14ac:dyDescent="0.25">
      <c r="A470" t="s">
        <v>13</v>
      </c>
      <c r="B470">
        <v>2018</v>
      </c>
      <c r="C470">
        <v>64671765568.805817</v>
      </c>
      <c r="D470">
        <v>10439214842.160538</v>
      </c>
      <c r="E470">
        <v>607950</v>
      </c>
      <c r="F470" s="4">
        <v>1499</v>
      </c>
    </row>
    <row r="471" spans="1:6" x14ac:dyDescent="0.25">
      <c r="A471" t="s">
        <v>13</v>
      </c>
      <c r="B471">
        <v>2019</v>
      </c>
      <c r="C471">
        <v>66557495896.737839</v>
      </c>
      <c r="D471">
        <v>11848925307.063271</v>
      </c>
      <c r="E471">
        <v>620001</v>
      </c>
      <c r="F471" s="4">
        <v>1493</v>
      </c>
    </row>
    <row r="472" spans="1:6" x14ac:dyDescent="0.25">
      <c r="A472" t="s">
        <v>13</v>
      </c>
      <c r="B472">
        <v>2020</v>
      </c>
      <c r="C472">
        <v>65951935965.676514</v>
      </c>
      <c r="D472">
        <v>11057890325.101944</v>
      </c>
      <c r="E472">
        <v>630419</v>
      </c>
      <c r="F472" s="4">
        <v>1408</v>
      </c>
    </row>
    <row r="473" spans="1:6" x14ac:dyDescent="0.25">
      <c r="A473" t="s">
        <v>13</v>
      </c>
      <c r="B473">
        <v>2021</v>
      </c>
      <c r="C473">
        <v>70679635853.890182</v>
      </c>
      <c r="D473">
        <v>12931141961.553116</v>
      </c>
      <c r="E473">
        <v>640064</v>
      </c>
      <c r="F473" s="4">
        <v>1467</v>
      </c>
    </row>
    <row r="474" spans="1:6" x14ac:dyDescent="0.25">
      <c r="A474" t="s">
        <v>13</v>
      </c>
      <c r="B474">
        <v>2022</v>
      </c>
      <c r="C474">
        <v>71655146215.637054</v>
      </c>
      <c r="D474">
        <v>11929038794.84374</v>
      </c>
      <c r="E474">
        <v>653103</v>
      </c>
      <c r="F474" s="4">
        <v>1459</v>
      </c>
    </row>
    <row r="475" spans="1:6" x14ac:dyDescent="0.25">
      <c r="A475" t="s">
        <v>14</v>
      </c>
      <c r="B475">
        <v>1980</v>
      </c>
      <c r="C475">
        <v>375501994932.64227</v>
      </c>
      <c r="D475">
        <v>70803755951.451492</v>
      </c>
      <c r="E475">
        <v>14149800</v>
      </c>
      <c r="F475" s="4">
        <v>1556</v>
      </c>
    </row>
    <row r="476" spans="1:6" x14ac:dyDescent="0.25">
      <c r="A476" t="s">
        <v>14</v>
      </c>
      <c r="B476">
        <v>1981</v>
      </c>
      <c r="C476">
        <v>372559517928.13757</v>
      </c>
      <c r="D476">
        <v>64148845486.376892</v>
      </c>
      <c r="E476">
        <v>14247208</v>
      </c>
      <c r="F476" s="4">
        <v>1556</v>
      </c>
    </row>
    <row r="477" spans="1:6" x14ac:dyDescent="0.25">
      <c r="A477" t="s">
        <v>14</v>
      </c>
      <c r="B477">
        <v>1982</v>
      </c>
      <c r="C477">
        <v>367936959919.49109</v>
      </c>
      <c r="D477">
        <v>62378859543.194862</v>
      </c>
      <c r="E477">
        <v>14312690</v>
      </c>
      <c r="F477" s="4">
        <v>1542</v>
      </c>
    </row>
    <row r="478" spans="1:6" x14ac:dyDescent="0.25">
      <c r="A478" t="s">
        <v>14</v>
      </c>
      <c r="B478">
        <v>1983</v>
      </c>
      <c r="C478">
        <v>375553101315.41028</v>
      </c>
      <c r="D478">
        <v>63725444272.185486</v>
      </c>
      <c r="E478">
        <v>14367070</v>
      </c>
      <c r="F478" s="4">
        <v>1527</v>
      </c>
    </row>
    <row r="479" spans="1:6" x14ac:dyDescent="0.25">
      <c r="A479" t="s">
        <v>14</v>
      </c>
      <c r="B479">
        <v>1984</v>
      </c>
      <c r="C479">
        <v>387051331788.00482</v>
      </c>
      <c r="D479">
        <v>68322370314.032753</v>
      </c>
      <c r="E479">
        <v>14424211</v>
      </c>
      <c r="F479" s="4">
        <v>1519</v>
      </c>
    </row>
    <row r="480" spans="1:6" x14ac:dyDescent="0.25">
      <c r="A480" t="s">
        <v>14</v>
      </c>
      <c r="B480">
        <v>1985</v>
      </c>
      <c r="C480">
        <v>397037951912.79584</v>
      </c>
      <c r="D480">
        <v>73526567155.818695</v>
      </c>
      <c r="E480">
        <v>14491632</v>
      </c>
      <c r="F480" s="4">
        <v>1502</v>
      </c>
    </row>
    <row r="481" spans="1:6" x14ac:dyDescent="0.25">
      <c r="A481" t="s">
        <v>14</v>
      </c>
      <c r="B481">
        <v>1986</v>
      </c>
      <c r="C481">
        <v>408103303712.08722</v>
      </c>
      <c r="D481">
        <v>78532046910.355011</v>
      </c>
      <c r="E481">
        <v>14572278</v>
      </c>
      <c r="F481" s="4">
        <v>1488</v>
      </c>
    </row>
    <row r="482" spans="1:6" x14ac:dyDescent="0.25">
      <c r="A482" t="s">
        <v>14</v>
      </c>
      <c r="B482">
        <v>1987</v>
      </c>
      <c r="C482">
        <v>415984792882.38959</v>
      </c>
      <c r="D482">
        <v>79678372329.178055</v>
      </c>
      <c r="E482">
        <v>14665037</v>
      </c>
      <c r="F482" s="4">
        <v>1467</v>
      </c>
    </row>
    <row r="483" spans="1:6" x14ac:dyDescent="0.25">
      <c r="A483" t="s">
        <v>14</v>
      </c>
      <c r="B483">
        <v>1988</v>
      </c>
      <c r="C483">
        <v>430299740401.87512</v>
      </c>
      <c r="D483">
        <v>87485204596.096008</v>
      </c>
      <c r="E483">
        <v>14760094</v>
      </c>
      <c r="F483" s="4">
        <v>1464</v>
      </c>
    </row>
    <row r="484" spans="1:6" x14ac:dyDescent="0.25">
      <c r="A484" t="s">
        <v>14</v>
      </c>
      <c r="B484">
        <v>1989</v>
      </c>
      <c r="C484">
        <v>449319496339.61493</v>
      </c>
      <c r="D484">
        <v>90353640476.870621</v>
      </c>
      <c r="E484">
        <v>14848907</v>
      </c>
      <c r="F484" s="4">
        <v>1459</v>
      </c>
    </row>
    <row r="485" spans="1:6" x14ac:dyDescent="0.25">
      <c r="A485" t="s">
        <v>14</v>
      </c>
      <c r="B485">
        <v>1990</v>
      </c>
      <c r="C485">
        <v>468115532317.11493</v>
      </c>
      <c r="D485">
        <v>92957275573.117111</v>
      </c>
      <c r="E485">
        <v>14951510</v>
      </c>
      <c r="F485" s="4">
        <v>1454</v>
      </c>
    </row>
    <row r="486" spans="1:6" x14ac:dyDescent="0.25">
      <c r="A486" t="s">
        <v>14</v>
      </c>
      <c r="B486">
        <v>1991</v>
      </c>
      <c r="C486">
        <v>479533499517.68878</v>
      </c>
      <c r="D486">
        <v>94131546293.116333</v>
      </c>
      <c r="E486">
        <v>15069798</v>
      </c>
      <c r="F486" s="4">
        <v>1444</v>
      </c>
    </row>
    <row r="487" spans="1:6" x14ac:dyDescent="0.25">
      <c r="A487" t="s">
        <v>14</v>
      </c>
      <c r="B487">
        <v>1992</v>
      </c>
      <c r="C487">
        <v>487714681433.90363</v>
      </c>
      <c r="D487">
        <v>95809074308.096786</v>
      </c>
      <c r="E487">
        <v>15184166</v>
      </c>
      <c r="F487" s="4">
        <v>1451</v>
      </c>
    </row>
    <row r="488" spans="1:6" x14ac:dyDescent="0.25">
      <c r="A488" t="s">
        <v>14</v>
      </c>
      <c r="B488">
        <v>1993</v>
      </c>
      <c r="C488">
        <v>493847947756.3736</v>
      </c>
      <c r="D488">
        <v>94241070748.601471</v>
      </c>
      <c r="E488">
        <v>15290368</v>
      </c>
      <c r="F488" s="4">
        <v>1440</v>
      </c>
    </row>
    <row r="489" spans="1:6" x14ac:dyDescent="0.25">
      <c r="A489" t="s">
        <v>14</v>
      </c>
      <c r="B489">
        <v>1994</v>
      </c>
      <c r="C489">
        <v>508471242222.31854</v>
      </c>
      <c r="D489">
        <v>96161217056.887802</v>
      </c>
      <c r="E489">
        <v>15382838</v>
      </c>
      <c r="F489" s="4">
        <v>1447</v>
      </c>
    </row>
    <row r="490" spans="1:6" x14ac:dyDescent="0.25">
      <c r="A490" t="s">
        <v>14</v>
      </c>
      <c r="B490">
        <v>1995</v>
      </c>
      <c r="C490">
        <v>524315389197.46271</v>
      </c>
      <c r="D490">
        <v>101824609108.2296</v>
      </c>
      <c r="E490">
        <v>15459006</v>
      </c>
      <c r="F490" s="4">
        <v>1482</v>
      </c>
    </row>
    <row r="491" spans="1:6" x14ac:dyDescent="0.25">
      <c r="A491" t="s">
        <v>14</v>
      </c>
      <c r="B491">
        <v>1996</v>
      </c>
      <c r="C491">
        <v>542250002695.22015</v>
      </c>
      <c r="D491">
        <v>108639381519.12413</v>
      </c>
      <c r="E491">
        <v>15530498</v>
      </c>
      <c r="F491" s="4">
        <v>1496</v>
      </c>
    </row>
    <row r="492" spans="1:6" x14ac:dyDescent="0.25">
      <c r="A492" t="s">
        <v>14</v>
      </c>
      <c r="B492">
        <v>1997</v>
      </c>
      <c r="C492">
        <v>565287383585.32837</v>
      </c>
      <c r="D492">
        <v>115235144961.51242</v>
      </c>
      <c r="E492">
        <v>15610650</v>
      </c>
      <c r="F492" s="4">
        <v>1482</v>
      </c>
    </row>
    <row r="493" spans="1:6" x14ac:dyDescent="0.25">
      <c r="A493" t="s">
        <v>14</v>
      </c>
      <c r="B493">
        <v>1998</v>
      </c>
      <c r="C493">
        <v>591560722063.17908</v>
      </c>
      <c r="D493">
        <v>122949547038.05109</v>
      </c>
      <c r="E493">
        <v>15707209</v>
      </c>
      <c r="F493" s="4">
        <v>1479</v>
      </c>
    </row>
    <row r="494" spans="1:6" x14ac:dyDescent="0.25">
      <c r="A494" t="s">
        <v>14</v>
      </c>
      <c r="B494">
        <v>1999</v>
      </c>
      <c r="C494">
        <v>621395031068.36194</v>
      </c>
      <c r="D494">
        <v>135205946501.76085</v>
      </c>
      <c r="E494">
        <v>15812088</v>
      </c>
      <c r="F494" s="4">
        <v>1477</v>
      </c>
    </row>
    <row r="495" spans="1:6" x14ac:dyDescent="0.25">
      <c r="A495" t="s">
        <v>14</v>
      </c>
      <c r="B495">
        <v>2000</v>
      </c>
      <c r="C495">
        <v>647616371115.08069</v>
      </c>
      <c r="D495">
        <v>138478045362.40265</v>
      </c>
      <c r="E495">
        <v>15925513</v>
      </c>
      <c r="F495" s="4">
        <v>1464</v>
      </c>
    </row>
    <row r="496" spans="1:6" x14ac:dyDescent="0.25">
      <c r="A496" t="s">
        <v>14</v>
      </c>
      <c r="B496">
        <v>2001</v>
      </c>
      <c r="C496">
        <v>662664227345.70056</v>
      </c>
      <c r="D496">
        <v>140231638252.6257</v>
      </c>
      <c r="E496">
        <v>16046180</v>
      </c>
      <c r="F496" s="4">
        <v>1454</v>
      </c>
    </row>
    <row r="497" spans="1:6" x14ac:dyDescent="0.25">
      <c r="A497" t="s">
        <v>14</v>
      </c>
      <c r="B497">
        <v>2002</v>
      </c>
      <c r="C497">
        <v>664292962312.29004</v>
      </c>
      <c r="D497">
        <v>134574634776.50813</v>
      </c>
      <c r="E497">
        <v>16148929</v>
      </c>
      <c r="F497" s="4">
        <v>1436</v>
      </c>
    </row>
    <row r="498" spans="1:6" x14ac:dyDescent="0.25">
      <c r="A498" t="s">
        <v>14</v>
      </c>
      <c r="B498">
        <v>2003</v>
      </c>
      <c r="C498">
        <v>664942855049.922</v>
      </c>
      <c r="D498">
        <v>132221405644.54681</v>
      </c>
      <c r="E498">
        <v>16225302</v>
      </c>
      <c r="F498" s="4">
        <v>1428</v>
      </c>
    </row>
    <row r="499" spans="1:6" x14ac:dyDescent="0.25">
      <c r="A499" t="s">
        <v>14</v>
      </c>
      <c r="B499">
        <v>2004</v>
      </c>
      <c r="C499">
        <v>678350164439.71887</v>
      </c>
      <c r="D499">
        <v>132315279311.19682</v>
      </c>
      <c r="E499">
        <v>16281779</v>
      </c>
      <c r="F499" s="4">
        <v>1448</v>
      </c>
    </row>
    <row r="500" spans="1:6" x14ac:dyDescent="0.25">
      <c r="A500" t="s">
        <v>14</v>
      </c>
      <c r="B500">
        <v>2005</v>
      </c>
      <c r="C500">
        <v>692147557481.11462</v>
      </c>
      <c r="D500">
        <v>136683190797.29016</v>
      </c>
      <c r="E500">
        <v>16319868</v>
      </c>
      <c r="F500" s="4">
        <v>1434</v>
      </c>
    </row>
    <row r="501" spans="1:6" x14ac:dyDescent="0.25">
      <c r="A501" t="s">
        <v>14</v>
      </c>
      <c r="B501">
        <v>2006</v>
      </c>
      <c r="C501">
        <v>716631413655.26929</v>
      </c>
      <c r="D501">
        <v>146156560244.49408</v>
      </c>
      <c r="E501">
        <v>16346101</v>
      </c>
      <c r="F501" s="4">
        <v>1430</v>
      </c>
    </row>
    <row r="502" spans="1:6" x14ac:dyDescent="0.25">
      <c r="A502" t="s">
        <v>14</v>
      </c>
      <c r="B502">
        <v>2007</v>
      </c>
      <c r="C502">
        <v>744474740611.17664</v>
      </c>
      <c r="D502">
        <v>167599566672.72256</v>
      </c>
      <c r="E502">
        <v>16381696</v>
      </c>
      <c r="F502" s="4">
        <v>1429</v>
      </c>
    </row>
    <row r="503" spans="1:6" x14ac:dyDescent="0.25">
      <c r="A503" t="s">
        <v>14</v>
      </c>
      <c r="B503">
        <v>2008</v>
      </c>
      <c r="C503">
        <v>760233900008.41174</v>
      </c>
      <c r="D503">
        <v>162689866727.98233</v>
      </c>
      <c r="E503">
        <v>16445593</v>
      </c>
      <c r="F503" s="4">
        <v>1429</v>
      </c>
    </row>
    <row r="504" spans="1:6" x14ac:dyDescent="0.25">
      <c r="A504" t="s">
        <v>14</v>
      </c>
      <c r="B504">
        <v>2009</v>
      </c>
      <c r="C504">
        <v>732369119511.25122</v>
      </c>
      <c r="D504">
        <v>148772551985.80344</v>
      </c>
      <c r="E504">
        <v>16530388</v>
      </c>
      <c r="F504" s="4">
        <v>1420</v>
      </c>
    </row>
    <row r="505" spans="1:6" x14ac:dyDescent="0.25">
      <c r="A505" t="s">
        <v>14</v>
      </c>
      <c r="B505">
        <v>2010</v>
      </c>
      <c r="C505">
        <v>742031413484.93201</v>
      </c>
      <c r="D505">
        <v>137957494089.99524</v>
      </c>
      <c r="E505">
        <v>16615394</v>
      </c>
      <c r="F505" s="4">
        <v>1427</v>
      </c>
    </row>
    <row r="506" spans="1:6" x14ac:dyDescent="0.25">
      <c r="A506" t="s">
        <v>14</v>
      </c>
      <c r="B506">
        <v>2011</v>
      </c>
      <c r="C506">
        <v>755190191987.22888</v>
      </c>
      <c r="D506">
        <v>145531670379.85226</v>
      </c>
      <c r="E506">
        <v>16693074</v>
      </c>
      <c r="F506" s="4">
        <v>1425</v>
      </c>
    </row>
    <row r="507" spans="1:6" x14ac:dyDescent="0.25">
      <c r="A507" t="s">
        <v>14</v>
      </c>
      <c r="B507">
        <v>2012</v>
      </c>
      <c r="C507">
        <v>747805360729.23438</v>
      </c>
      <c r="D507">
        <v>136431558821.26085</v>
      </c>
      <c r="E507">
        <v>16754962</v>
      </c>
      <c r="F507" s="4">
        <v>1419</v>
      </c>
    </row>
    <row r="508" spans="1:6" x14ac:dyDescent="0.25">
      <c r="A508" t="s">
        <v>14</v>
      </c>
      <c r="B508">
        <v>2013</v>
      </c>
      <c r="C508">
        <v>747579280835.07617</v>
      </c>
      <c r="D508">
        <v>134296471018.72531</v>
      </c>
      <c r="E508">
        <v>16804432</v>
      </c>
      <c r="F508" s="4">
        <v>1427</v>
      </c>
    </row>
    <row r="509" spans="1:6" x14ac:dyDescent="0.25">
      <c r="A509" t="s">
        <v>14</v>
      </c>
      <c r="B509">
        <v>2014</v>
      </c>
      <c r="C509">
        <v>759634819632.63171</v>
      </c>
      <c r="D509">
        <v>131050151690.0972</v>
      </c>
      <c r="E509">
        <v>16865008</v>
      </c>
      <c r="F509" s="4">
        <v>1434</v>
      </c>
    </row>
    <row r="510" spans="1:6" x14ac:dyDescent="0.25">
      <c r="A510" t="s">
        <v>14</v>
      </c>
      <c r="B510">
        <v>2015</v>
      </c>
      <c r="C510">
        <v>775743675302.73401</v>
      </c>
      <c r="D510">
        <v>169165211407.81241</v>
      </c>
      <c r="E510">
        <v>16939923</v>
      </c>
      <c r="F510" s="4">
        <v>1437</v>
      </c>
    </row>
    <row r="511" spans="1:6" x14ac:dyDescent="0.25">
      <c r="A511" t="s">
        <v>14</v>
      </c>
      <c r="B511">
        <v>2016</v>
      </c>
      <c r="C511">
        <v>794549918798.82776</v>
      </c>
      <c r="D511">
        <v>153802895924.21866</v>
      </c>
      <c r="E511">
        <v>17030314</v>
      </c>
      <c r="F511" s="4">
        <v>1446</v>
      </c>
    </row>
    <row r="512" spans="1:6" x14ac:dyDescent="0.25">
      <c r="A512" t="s">
        <v>14</v>
      </c>
      <c r="B512">
        <v>2017</v>
      </c>
      <c r="C512">
        <v>816650691068.16016</v>
      </c>
      <c r="D512">
        <v>163097349760.73193</v>
      </c>
      <c r="E512">
        <v>17131296</v>
      </c>
      <c r="F512" s="4">
        <v>1450</v>
      </c>
    </row>
    <row r="513" spans="1:6" x14ac:dyDescent="0.25">
      <c r="A513" t="s">
        <v>14</v>
      </c>
      <c r="B513">
        <v>2018</v>
      </c>
      <c r="C513">
        <v>835096710123.5675</v>
      </c>
      <c r="D513">
        <v>168184075815.71005</v>
      </c>
      <c r="E513">
        <v>17231624</v>
      </c>
      <c r="F513" s="4">
        <v>1449</v>
      </c>
    </row>
    <row r="514" spans="1:6" x14ac:dyDescent="0.25">
      <c r="A514" t="s">
        <v>14</v>
      </c>
      <c r="B514">
        <v>2019</v>
      </c>
      <c r="C514">
        <v>854304699361.25342</v>
      </c>
      <c r="D514">
        <v>180555701521.64987</v>
      </c>
      <c r="E514">
        <v>17344874</v>
      </c>
      <c r="F514" s="4">
        <v>1451</v>
      </c>
    </row>
    <row r="515" spans="1:6" x14ac:dyDescent="0.25">
      <c r="A515" t="s">
        <v>14</v>
      </c>
      <c r="B515">
        <v>2020</v>
      </c>
      <c r="C515">
        <v>821260591753.75024</v>
      </c>
      <c r="D515">
        <v>175965937385.5116</v>
      </c>
      <c r="E515">
        <v>17441500</v>
      </c>
      <c r="F515" s="4">
        <v>1404</v>
      </c>
    </row>
    <row r="516" spans="1:6" x14ac:dyDescent="0.25">
      <c r="A516" t="s">
        <v>14</v>
      </c>
      <c r="B516">
        <v>2021</v>
      </c>
      <c r="C516">
        <v>872809728969.2616</v>
      </c>
      <c r="D516">
        <v>180255317549.20651</v>
      </c>
      <c r="E516">
        <v>17533044</v>
      </c>
      <c r="F516" s="4">
        <v>1412</v>
      </c>
    </row>
    <row r="517" spans="1:6" x14ac:dyDescent="0.25">
      <c r="A517" t="s">
        <v>14</v>
      </c>
      <c r="B517">
        <v>2022</v>
      </c>
      <c r="C517">
        <v>916513359627.02649</v>
      </c>
      <c r="D517">
        <v>186404083766.75848</v>
      </c>
      <c r="E517">
        <v>17700982</v>
      </c>
      <c r="F517" s="4">
        <v>1415</v>
      </c>
    </row>
    <row r="518" spans="1:6" x14ac:dyDescent="0.25">
      <c r="A518" t="s">
        <v>15</v>
      </c>
      <c r="B518">
        <v>1980</v>
      </c>
      <c r="C518">
        <v>164314436292.23929</v>
      </c>
      <c r="D518">
        <v>41632448072.749802</v>
      </c>
      <c r="E518">
        <v>4085620</v>
      </c>
      <c r="F518" s="4">
        <v>1569.4</v>
      </c>
    </row>
    <row r="519" spans="1:6" x14ac:dyDescent="0.25">
      <c r="A519" t="s">
        <v>15</v>
      </c>
      <c r="B519">
        <v>1981</v>
      </c>
      <c r="C519">
        <v>166940746098.99759</v>
      </c>
      <c r="D519">
        <v>43730867004.236832</v>
      </c>
      <c r="E519">
        <v>4099702</v>
      </c>
      <c r="F519" s="4">
        <v>1560.5</v>
      </c>
    </row>
    <row r="520" spans="1:6" x14ac:dyDescent="0.25">
      <c r="A520" t="s">
        <v>15</v>
      </c>
      <c r="B520">
        <v>1982</v>
      </c>
      <c r="C520">
        <v>167333595122.45529</v>
      </c>
      <c r="D520">
        <v>44078206055.595718</v>
      </c>
      <c r="E520">
        <v>4114787</v>
      </c>
      <c r="F520" s="4">
        <v>1549.4</v>
      </c>
    </row>
    <row r="521" spans="1:6" x14ac:dyDescent="0.25">
      <c r="A521" t="s">
        <v>15</v>
      </c>
      <c r="B521">
        <v>1983</v>
      </c>
      <c r="C521">
        <v>173981771210.08575</v>
      </c>
      <c r="D521">
        <v>46504247184.044617</v>
      </c>
      <c r="E521">
        <v>4128432</v>
      </c>
      <c r="F521" s="4">
        <v>1542.8</v>
      </c>
    </row>
    <row r="522" spans="1:6" x14ac:dyDescent="0.25">
      <c r="A522" t="s">
        <v>15</v>
      </c>
      <c r="B522">
        <v>1984</v>
      </c>
      <c r="C522">
        <v>184511811511.83218</v>
      </c>
      <c r="D522">
        <v>47106913299.576294</v>
      </c>
      <c r="E522">
        <v>4140099</v>
      </c>
      <c r="F522" s="4">
        <v>1537.9</v>
      </c>
    </row>
    <row r="523" spans="1:6" x14ac:dyDescent="0.25">
      <c r="A523" t="s">
        <v>15</v>
      </c>
      <c r="B523">
        <v>1985</v>
      </c>
      <c r="C523">
        <v>194758499534.97983</v>
      </c>
      <c r="D523">
        <v>45616492714.68428</v>
      </c>
      <c r="E523">
        <v>4152516</v>
      </c>
      <c r="F523" s="4">
        <v>1532</v>
      </c>
    </row>
    <row r="524" spans="1:6" x14ac:dyDescent="0.25">
      <c r="A524" t="s">
        <v>15</v>
      </c>
      <c r="B524">
        <v>1986</v>
      </c>
      <c r="C524">
        <v>202630856670.45572</v>
      </c>
      <c r="D524">
        <v>48991794977.782341</v>
      </c>
      <c r="E524">
        <v>4167354</v>
      </c>
      <c r="F524" s="4">
        <v>1528</v>
      </c>
    </row>
    <row r="525" spans="1:6" x14ac:dyDescent="0.25">
      <c r="A525" t="s">
        <v>15</v>
      </c>
      <c r="B525">
        <v>1987</v>
      </c>
      <c r="C525">
        <v>206183982639.24768</v>
      </c>
      <c r="D525">
        <v>49369019324.170685</v>
      </c>
      <c r="E525">
        <v>4186905</v>
      </c>
      <c r="F525" s="4">
        <v>1501</v>
      </c>
    </row>
    <row r="526" spans="1:6" x14ac:dyDescent="0.25">
      <c r="A526" t="s">
        <v>15</v>
      </c>
      <c r="B526">
        <v>1988</v>
      </c>
      <c r="C526">
        <v>205657951844.57993</v>
      </c>
      <c r="D526">
        <v>48870517722.434608</v>
      </c>
      <c r="E526">
        <v>4209488</v>
      </c>
      <c r="F526" s="4">
        <v>1504</v>
      </c>
    </row>
    <row r="527" spans="1:6" x14ac:dyDescent="0.25">
      <c r="A527" t="s">
        <v>15</v>
      </c>
      <c r="B527">
        <v>1989</v>
      </c>
      <c r="C527">
        <v>207793200372.01611</v>
      </c>
      <c r="D527">
        <v>45574082876.924637</v>
      </c>
      <c r="E527">
        <v>4226901</v>
      </c>
      <c r="F527" s="4">
        <v>1501</v>
      </c>
    </row>
    <row r="528" spans="1:6" x14ac:dyDescent="0.25">
      <c r="A528" t="s">
        <v>15</v>
      </c>
      <c r="B528">
        <v>1990</v>
      </c>
      <c r="C528">
        <v>211808370362.7157</v>
      </c>
      <c r="D528">
        <v>40874403224.139687</v>
      </c>
      <c r="E528">
        <v>4241473</v>
      </c>
      <c r="F528" s="4">
        <v>1493</v>
      </c>
    </row>
    <row r="529" spans="1:6" x14ac:dyDescent="0.25">
      <c r="A529" t="s">
        <v>15</v>
      </c>
      <c r="B529">
        <v>1991</v>
      </c>
      <c r="C529">
        <v>218341469463.67673</v>
      </c>
      <c r="D529">
        <v>40712080190.141548</v>
      </c>
      <c r="E529">
        <v>4261732</v>
      </c>
      <c r="F529" s="4">
        <v>1490</v>
      </c>
    </row>
    <row r="530" spans="1:6" x14ac:dyDescent="0.25">
      <c r="A530" t="s">
        <v>15</v>
      </c>
      <c r="B530">
        <v>1992</v>
      </c>
      <c r="C530">
        <v>226145995659.81189</v>
      </c>
      <c r="D530">
        <v>39909145396.300484</v>
      </c>
      <c r="E530">
        <v>4286401</v>
      </c>
      <c r="F530" s="4">
        <v>1500</v>
      </c>
    </row>
    <row r="531" spans="1:6" x14ac:dyDescent="0.25">
      <c r="A531" t="s">
        <v>15</v>
      </c>
      <c r="B531">
        <v>1993</v>
      </c>
      <c r="C531">
        <v>232580262478.04068</v>
      </c>
      <c r="D531">
        <v>42006696290.172554</v>
      </c>
      <c r="E531">
        <v>4311991</v>
      </c>
      <c r="F531" s="4">
        <v>1497</v>
      </c>
    </row>
    <row r="532" spans="1:6" x14ac:dyDescent="0.25">
      <c r="A532" t="s">
        <v>15</v>
      </c>
      <c r="B532">
        <v>1994</v>
      </c>
      <c r="C532">
        <v>244337831972.71875</v>
      </c>
      <c r="D532">
        <v>44213247907.409294</v>
      </c>
      <c r="E532">
        <v>4336613</v>
      </c>
      <c r="F532" s="4">
        <v>1494</v>
      </c>
    </row>
    <row r="533" spans="1:6" x14ac:dyDescent="0.25">
      <c r="A533" t="s">
        <v>15</v>
      </c>
      <c r="B533">
        <v>1995</v>
      </c>
      <c r="C533">
        <v>254491515965.69177</v>
      </c>
      <c r="D533">
        <v>45640177741.035423</v>
      </c>
      <c r="E533">
        <v>4359184</v>
      </c>
      <c r="F533" s="4">
        <v>1479</v>
      </c>
    </row>
    <row r="534" spans="1:6" x14ac:dyDescent="0.25">
      <c r="A534" t="s">
        <v>15</v>
      </c>
      <c r="B534">
        <v>1996</v>
      </c>
      <c r="C534">
        <v>267287258447.86597</v>
      </c>
      <c r="D534">
        <v>49912162860.390594</v>
      </c>
      <c r="E534">
        <v>4381336</v>
      </c>
      <c r="F534" s="4">
        <v>1474</v>
      </c>
    </row>
    <row r="535" spans="1:6" x14ac:dyDescent="0.25">
      <c r="A535" t="s">
        <v>15</v>
      </c>
      <c r="B535">
        <v>1997</v>
      </c>
      <c r="C535">
        <v>281412338534.66974</v>
      </c>
      <c r="D535">
        <v>57279322103.957809</v>
      </c>
      <c r="E535">
        <v>4405157</v>
      </c>
      <c r="F535" s="4">
        <v>1468</v>
      </c>
    </row>
    <row r="536" spans="1:6" x14ac:dyDescent="0.25">
      <c r="A536" t="s">
        <v>15</v>
      </c>
      <c r="B536">
        <v>1998</v>
      </c>
      <c r="C536">
        <v>288922351968.58521</v>
      </c>
      <c r="D536">
        <v>64330763666.425507</v>
      </c>
      <c r="E536">
        <v>4431464</v>
      </c>
      <c r="F536" s="4">
        <v>1467</v>
      </c>
    </row>
    <row r="537" spans="1:6" x14ac:dyDescent="0.25">
      <c r="A537" t="s">
        <v>15</v>
      </c>
      <c r="B537">
        <v>1999</v>
      </c>
      <c r="C537">
        <v>294908959388.24005</v>
      </c>
      <c r="D537">
        <v>61160194275.085213</v>
      </c>
      <c r="E537">
        <v>4461913</v>
      </c>
      <c r="F537" s="4">
        <v>1465</v>
      </c>
    </row>
    <row r="538" spans="1:6" x14ac:dyDescent="0.25">
      <c r="A538" t="s">
        <v>15</v>
      </c>
      <c r="B538">
        <v>2000</v>
      </c>
      <c r="C538">
        <v>304696827529.19281</v>
      </c>
      <c r="D538">
        <v>59148083083.60025</v>
      </c>
      <c r="E538">
        <v>4490967</v>
      </c>
      <c r="F538" s="4">
        <v>1448</v>
      </c>
    </row>
    <row r="539" spans="1:6" x14ac:dyDescent="0.25">
      <c r="A539" t="s">
        <v>15</v>
      </c>
      <c r="B539">
        <v>2001</v>
      </c>
      <c r="C539">
        <v>310995308463.36664</v>
      </c>
      <c r="D539">
        <v>58785615376.666283</v>
      </c>
      <c r="E539">
        <v>4513751</v>
      </c>
      <c r="F539" s="4">
        <v>1424</v>
      </c>
    </row>
    <row r="540" spans="1:6" x14ac:dyDescent="0.25">
      <c r="A540" t="s">
        <v>15</v>
      </c>
      <c r="B540">
        <v>2002</v>
      </c>
      <c r="C540">
        <v>315279446109.3313</v>
      </c>
      <c r="D540">
        <v>58577782370.569351</v>
      </c>
      <c r="E540">
        <v>4538159</v>
      </c>
      <c r="F540" s="4">
        <v>1412</v>
      </c>
    </row>
    <row r="541" spans="1:6" x14ac:dyDescent="0.25">
      <c r="A541" t="s">
        <v>15</v>
      </c>
      <c r="B541">
        <v>2003</v>
      </c>
      <c r="C541">
        <v>318258551203.88544</v>
      </c>
      <c r="D541">
        <v>58864234783.50724</v>
      </c>
      <c r="E541">
        <v>4564855</v>
      </c>
      <c r="F541" s="4">
        <v>1401</v>
      </c>
    </row>
    <row r="542" spans="1:6" x14ac:dyDescent="0.25">
      <c r="A542" t="s">
        <v>15</v>
      </c>
      <c r="B542">
        <v>2004</v>
      </c>
      <c r="C542">
        <v>331035320863.90405</v>
      </c>
      <c r="D542">
        <v>64837201612.069809</v>
      </c>
      <c r="E542">
        <v>4591910</v>
      </c>
      <c r="F542" s="4">
        <v>1423</v>
      </c>
    </row>
    <row r="543" spans="1:6" x14ac:dyDescent="0.25">
      <c r="A543" t="s">
        <v>15</v>
      </c>
      <c r="B543">
        <v>2005</v>
      </c>
      <c r="C543">
        <v>339924026041.12836</v>
      </c>
      <c r="D543">
        <v>72542771520.099152</v>
      </c>
      <c r="E543">
        <v>4623291</v>
      </c>
      <c r="F543" s="4">
        <v>1429</v>
      </c>
    </row>
    <row r="544" spans="1:6" x14ac:dyDescent="0.25">
      <c r="A544" t="s">
        <v>15</v>
      </c>
      <c r="B544">
        <v>2006</v>
      </c>
      <c r="C544">
        <v>348291164617.1333</v>
      </c>
      <c r="D544">
        <v>79119768523.302628</v>
      </c>
      <c r="E544">
        <v>4660677</v>
      </c>
      <c r="F544" s="4">
        <v>1426</v>
      </c>
    </row>
    <row r="545" spans="1:6" x14ac:dyDescent="0.25">
      <c r="A545" t="s">
        <v>15</v>
      </c>
      <c r="B545">
        <v>2007</v>
      </c>
      <c r="C545">
        <v>358440508422.03149</v>
      </c>
      <c r="D545">
        <v>88813516585.718674</v>
      </c>
      <c r="E545">
        <v>4709153</v>
      </c>
      <c r="F545" s="4">
        <v>1438</v>
      </c>
    </row>
    <row r="546" spans="1:6" x14ac:dyDescent="0.25">
      <c r="A546" t="s">
        <v>15</v>
      </c>
      <c r="B546">
        <v>2008</v>
      </c>
      <c r="C546">
        <v>360167903275.80853</v>
      </c>
      <c r="D546">
        <v>89816968068.616272</v>
      </c>
      <c r="E546">
        <v>4768212</v>
      </c>
      <c r="F546" s="4">
        <v>1443</v>
      </c>
    </row>
    <row r="547" spans="1:6" x14ac:dyDescent="0.25">
      <c r="A547" t="s">
        <v>15</v>
      </c>
      <c r="B547">
        <v>2009</v>
      </c>
      <c r="C547">
        <v>353179332437.73889</v>
      </c>
      <c r="D547">
        <v>83515635010.850433</v>
      </c>
      <c r="E547">
        <v>4828726</v>
      </c>
      <c r="F547" s="4">
        <v>1422</v>
      </c>
    </row>
    <row r="548" spans="1:6" x14ac:dyDescent="0.25">
      <c r="A548" t="s">
        <v>15</v>
      </c>
      <c r="B548">
        <v>2010</v>
      </c>
      <c r="C548">
        <v>355959036891.59857</v>
      </c>
      <c r="D548">
        <v>78152898625.607071</v>
      </c>
      <c r="E548">
        <v>4889252</v>
      </c>
      <c r="F548" s="4">
        <v>1430</v>
      </c>
    </row>
    <row r="549" spans="1:6" x14ac:dyDescent="0.25">
      <c r="A549" t="s">
        <v>15</v>
      </c>
      <c r="B549">
        <v>2011</v>
      </c>
      <c r="C549">
        <v>359894719437.84222</v>
      </c>
      <c r="D549">
        <v>83976066962.901688</v>
      </c>
      <c r="E549">
        <v>4953088</v>
      </c>
      <c r="F549" s="4">
        <v>1435</v>
      </c>
    </row>
    <row r="550" spans="1:6" x14ac:dyDescent="0.25">
      <c r="A550" t="s">
        <v>15</v>
      </c>
      <c r="B550">
        <v>2012</v>
      </c>
      <c r="C550">
        <v>369676511315.49023</v>
      </c>
      <c r="D550">
        <v>90310013433.915436</v>
      </c>
      <c r="E550">
        <v>5018573</v>
      </c>
      <c r="F550" s="4">
        <v>1431</v>
      </c>
    </row>
    <row r="551" spans="1:6" x14ac:dyDescent="0.25">
      <c r="A551" t="s">
        <v>15</v>
      </c>
      <c r="B551">
        <v>2013</v>
      </c>
      <c r="C551">
        <v>373433130102.30432</v>
      </c>
      <c r="D551">
        <v>96030505321.897247</v>
      </c>
      <c r="E551">
        <v>5079623</v>
      </c>
      <c r="F551" s="4">
        <v>1421</v>
      </c>
    </row>
    <row r="552" spans="1:6" x14ac:dyDescent="0.25">
      <c r="A552" t="s">
        <v>15</v>
      </c>
      <c r="B552">
        <v>2014</v>
      </c>
      <c r="C552">
        <v>381081533533.11963</v>
      </c>
      <c r="D552">
        <v>95788570838.069611</v>
      </c>
      <c r="E552">
        <v>5137232</v>
      </c>
      <c r="F552" s="4">
        <v>1424</v>
      </c>
    </row>
    <row r="553" spans="1:6" x14ac:dyDescent="0.25">
      <c r="A553" t="s">
        <v>15</v>
      </c>
      <c r="B553">
        <v>2015</v>
      </c>
      <c r="C553">
        <v>388159512245.53046</v>
      </c>
      <c r="D553">
        <v>91953332644.414551</v>
      </c>
      <c r="E553">
        <v>5188607</v>
      </c>
      <c r="F553" s="4">
        <v>1427</v>
      </c>
    </row>
    <row r="554" spans="1:6" x14ac:dyDescent="0.25">
      <c r="A554" t="s">
        <v>15</v>
      </c>
      <c r="B554">
        <v>2016</v>
      </c>
      <c r="C554">
        <v>392680500155.00653</v>
      </c>
      <c r="D554">
        <v>95579125762.116318</v>
      </c>
      <c r="E554">
        <v>5234519</v>
      </c>
      <c r="F554" s="4">
        <v>1430</v>
      </c>
    </row>
    <row r="555" spans="1:6" x14ac:dyDescent="0.25">
      <c r="A555" t="s">
        <v>15</v>
      </c>
      <c r="B555">
        <v>2017</v>
      </c>
      <c r="C555">
        <v>402355151389.89337</v>
      </c>
      <c r="D555">
        <v>98097426888.498459</v>
      </c>
      <c r="E555">
        <v>5276968</v>
      </c>
      <c r="F555" s="4">
        <v>1419</v>
      </c>
    </row>
    <row r="556" spans="1:6" x14ac:dyDescent="0.25">
      <c r="A556" t="s">
        <v>15</v>
      </c>
      <c r="B556">
        <v>2018</v>
      </c>
      <c r="C556">
        <v>405690275911.95599</v>
      </c>
      <c r="D556">
        <v>100279549447.14267</v>
      </c>
      <c r="E556">
        <v>5311916</v>
      </c>
      <c r="F556" s="4">
        <v>1419</v>
      </c>
    </row>
    <row r="557" spans="1:6" x14ac:dyDescent="0.25">
      <c r="A557" t="s">
        <v>15</v>
      </c>
      <c r="B557">
        <v>2019</v>
      </c>
      <c r="C557">
        <v>410249333471.11694</v>
      </c>
      <c r="D557">
        <v>109819406840.96306</v>
      </c>
      <c r="E557">
        <v>5347896</v>
      </c>
      <c r="F557" s="4">
        <v>1419</v>
      </c>
    </row>
    <row r="558" spans="1:6" x14ac:dyDescent="0.25">
      <c r="A558" t="s">
        <v>15</v>
      </c>
      <c r="B558">
        <v>2020</v>
      </c>
      <c r="C558">
        <v>405005642244.49713</v>
      </c>
      <c r="D558">
        <v>105314167613.92989</v>
      </c>
      <c r="E558">
        <v>5379475</v>
      </c>
      <c r="F558" s="4">
        <v>1410</v>
      </c>
    </row>
    <row r="559" spans="1:6" x14ac:dyDescent="0.25">
      <c r="A559" t="s">
        <v>15</v>
      </c>
      <c r="B559">
        <v>2021</v>
      </c>
      <c r="C559">
        <v>420836044228.58313</v>
      </c>
      <c r="D559">
        <v>106044435258.86116</v>
      </c>
      <c r="E559">
        <v>5408320</v>
      </c>
      <c r="F559" s="4">
        <v>1426</v>
      </c>
    </row>
    <row r="560" spans="1:6" x14ac:dyDescent="0.25">
      <c r="A560" t="s">
        <v>15</v>
      </c>
      <c r="B560">
        <v>2022</v>
      </c>
      <c r="C560">
        <v>433484840343.08148</v>
      </c>
      <c r="D560">
        <v>111586111398.16052</v>
      </c>
      <c r="E560">
        <v>5457127</v>
      </c>
      <c r="F560" s="4">
        <v>1425</v>
      </c>
    </row>
    <row r="561" spans="1:6" x14ac:dyDescent="0.25">
      <c r="A561" t="s">
        <v>16</v>
      </c>
      <c r="B561">
        <v>1980</v>
      </c>
      <c r="C561">
        <v>105793721718.96828</v>
      </c>
      <c r="D561">
        <v>21971703744.278885</v>
      </c>
      <c r="E561">
        <v>9766312</v>
      </c>
      <c r="F561" s="4">
        <v>1849</v>
      </c>
    </row>
    <row r="562" spans="1:6" x14ac:dyDescent="0.25">
      <c r="A562" t="s">
        <v>16</v>
      </c>
      <c r="B562">
        <v>1981</v>
      </c>
      <c r="C562">
        <v>107505573624.73312</v>
      </c>
      <c r="D562">
        <v>23180903039.587868</v>
      </c>
      <c r="E562">
        <v>9851362</v>
      </c>
      <c r="F562" s="4">
        <v>1838</v>
      </c>
    </row>
    <row r="563" spans="1:6" x14ac:dyDescent="0.25">
      <c r="A563" t="s">
        <v>16</v>
      </c>
      <c r="B563">
        <v>1982</v>
      </c>
      <c r="C563">
        <v>109801221256.69679</v>
      </c>
      <c r="D563">
        <v>23704199246.886696</v>
      </c>
      <c r="E563">
        <v>9911771</v>
      </c>
      <c r="F563" s="4">
        <v>1827</v>
      </c>
    </row>
    <row r="564" spans="1:6" x14ac:dyDescent="0.25">
      <c r="A564" t="s">
        <v>16</v>
      </c>
      <c r="B564">
        <v>1983</v>
      </c>
      <c r="C564">
        <v>109611140617.78781</v>
      </c>
      <c r="D564">
        <v>22013641112.51873</v>
      </c>
      <c r="E564">
        <v>9957865</v>
      </c>
      <c r="F564" s="4">
        <v>1817</v>
      </c>
    </row>
    <row r="565" spans="1:6" x14ac:dyDescent="0.25">
      <c r="A565" t="s">
        <v>16</v>
      </c>
      <c r="B565">
        <v>1984</v>
      </c>
      <c r="C565">
        <v>107550473392.39095</v>
      </c>
      <c r="D565">
        <v>18186295401.866779</v>
      </c>
      <c r="E565">
        <v>9996232</v>
      </c>
      <c r="F565" s="4">
        <v>1806</v>
      </c>
    </row>
    <row r="566" spans="1:6" x14ac:dyDescent="0.25">
      <c r="A566" t="s">
        <v>16</v>
      </c>
      <c r="B566">
        <v>1985</v>
      </c>
      <c r="C566">
        <v>110569888458.78314</v>
      </c>
      <c r="D566">
        <v>17541232373.847641</v>
      </c>
      <c r="E566">
        <v>10023613</v>
      </c>
      <c r="F566" s="4">
        <v>1796</v>
      </c>
    </row>
    <row r="567" spans="1:6" x14ac:dyDescent="0.25">
      <c r="A567" t="s">
        <v>16</v>
      </c>
      <c r="B567">
        <v>1986</v>
      </c>
      <c r="C567">
        <v>115148538604.29604</v>
      </c>
      <c r="D567">
        <v>19448098922.346077</v>
      </c>
      <c r="E567">
        <v>10032734</v>
      </c>
      <c r="F567" s="4">
        <v>1785</v>
      </c>
    </row>
    <row r="568" spans="1:6" x14ac:dyDescent="0.25">
      <c r="A568" t="s">
        <v>16</v>
      </c>
      <c r="B568">
        <v>1987</v>
      </c>
      <c r="C568">
        <v>122496620576.32729</v>
      </c>
      <c r="D568">
        <v>22948221543.73045</v>
      </c>
      <c r="E568">
        <v>10030031</v>
      </c>
      <c r="F568" s="4">
        <v>1799</v>
      </c>
    </row>
    <row r="569" spans="1:6" x14ac:dyDescent="0.25">
      <c r="A569" t="s">
        <v>16</v>
      </c>
      <c r="B569">
        <v>1988</v>
      </c>
      <c r="C569">
        <v>131670524727.76126</v>
      </c>
      <c r="D569">
        <v>26352046212.798805</v>
      </c>
      <c r="E569">
        <v>10019610</v>
      </c>
      <c r="F569" s="4">
        <v>1798</v>
      </c>
    </row>
    <row r="570" spans="1:6" x14ac:dyDescent="0.25">
      <c r="A570" t="s">
        <v>16</v>
      </c>
      <c r="B570">
        <v>1989</v>
      </c>
      <c r="C570">
        <v>140150947818.14212</v>
      </c>
      <c r="D570">
        <v>27315817928.162868</v>
      </c>
      <c r="E570">
        <v>10005000</v>
      </c>
      <c r="F570" s="4">
        <v>1818</v>
      </c>
    </row>
    <row r="571" spans="1:6" x14ac:dyDescent="0.25">
      <c r="A571" t="s">
        <v>16</v>
      </c>
      <c r="B571">
        <v>1990</v>
      </c>
      <c r="C571">
        <v>145687643482.99057</v>
      </c>
      <c r="D571">
        <v>29393780240.498802</v>
      </c>
      <c r="E571">
        <v>9983218</v>
      </c>
      <c r="F571" s="4">
        <v>1806</v>
      </c>
    </row>
    <row r="572" spans="1:6" x14ac:dyDescent="0.25">
      <c r="A572" t="s">
        <v>16</v>
      </c>
      <c r="B572">
        <v>1991</v>
      </c>
      <c r="C572">
        <v>152051580863.96005</v>
      </c>
      <c r="D572">
        <v>30372098779.371849</v>
      </c>
      <c r="E572">
        <v>9960235</v>
      </c>
      <c r="F572" s="4">
        <v>1739</v>
      </c>
    </row>
    <row r="573" spans="1:6" x14ac:dyDescent="0.25">
      <c r="A573" t="s">
        <v>16</v>
      </c>
      <c r="B573">
        <v>1992</v>
      </c>
      <c r="C573">
        <v>153708146851.89795</v>
      </c>
      <c r="D573">
        <v>31746086257.73513</v>
      </c>
      <c r="E573">
        <v>9952494</v>
      </c>
      <c r="F573" s="4">
        <v>1682</v>
      </c>
    </row>
    <row r="574" spans="1:6" x14ac:dyDescent="0.25">
      <c r="A574" t="s">
        <v>16</v>
      </c>
      <c r="B574">
        <v>1993</v>
      </c>
      <c r="C574">
        <v>150567463136.07333</v>
      </c>
      <c r="D574">
        <v>29986397703.69099</v>
      </c>
      <c r="E574">
        <v>9964675</v>
      </c>
      <c r="F574" s="4">
        <v>1684</v>
      </c>
    </row>
    <row r="575" spans="1:6" x14ac:dyDescent="0.25">
      <c r="A575" t="s">
        <v>16</v>
      </c>
      <c r="B575">
        <v>1994</v>
      </c>
      <c r="C575">
        <v>152020196072.82294</v>
      </c>
      <c r="D575">
        <v>30802758426.893723</v>
      </c>
      <c r="E575">
        <v>9991525</v>
      </c>
      <c r="F575" s="4">
        <v>1692</v>
      </c>
    </row>
    <row r="576" spans="1:6" x14ac:dyDescent="0.25">
      <c r="A576" t="s">
        <v>16</v>
      </c>
      <c r="B576">
        <v>1995</v>
      </c>
      <c r="C576">
        <v>158530887614.32254</v>
      </c>
      <c r="D576">
        <v>32820598454.712471</v>
      </c>
      <c r="E576">
        <v>10026176</v>
      </c>
      <c r="F576" s="4">
        <v>1749</v>
      </c>
    </row>
    <row r="577" spans="1:6" x14ac:dyDescent="0.25">
      <c r="A577" t="s">
        <v>16</v>
      </c>
      <c r="B577">
        <v>1996</v>
      </c>
      <c r="C577">
        <v>164086378427.53818</v>
      </c>
      <c r="D577">
        <v>34523216994.20153</v>
      </c>
      <c r="E577">
        <v>10063945</v>
      </c>
      <c r="F577" s="4">
        <v>1750</v>
      </c>
    </row>
    <row r="578" spans="1:6" x14ac:dyDescent="0.25">
      <c r="A578" t="s">
        <v>16</v>
      </c>
      <c r="B578">
        <v>1997</v>
      </c>
      <c r="C578">
        <v>171307602024.19403</v>
      </c>
      <c r="D578">
        <v>39412478601.983559</v>
      </c>
      <c r="E578">
        <v>10108977</v>
      </c>
      <c r="F578" s="4">
        <v>1746</v>
      </c>
    </row>
    <row r="579" spans="1:6" x14ac:dyDescent="0.25">
      <c r="A579" t="s">
        <v>16</v>
      </c>
      <c r="B579">
        <v>1998</v>
      </c>
      <c r="C579">
        <v>179544008835.02682</v>
      </c>
      <c r="D579">
        <v>44037307783.517151</v>
      </c>
      <c r="E579">
        <v>10160196</v>
      </c>
      <c r="F579" s="4">
        <v>1760</v>
      </c>
    </row>
    <row r="580" spans="1:6" x14ac:dyDescent="0.25">
      <c r="A580" t="s">
        <v>16</v>
      </c>
      <c r="B580">
        <v>1999</v>
      </c>
      <c r="C580">
        <v>186558034227.89716</v>
      </c>
      <c r="D580">
        <v>46710146527.290581</v>
      </c>
      <c r="E580">
        <v>10217828</v>
      </c>
      <c r="F580" s="4">
        <v>1762</v>
      </c>
    </row>
    <row r="581" spans="1:6" x14ac:dyDescent="0.25">
      <c r="A581" t="s">
        <v>16</v>
      </c>
      <c r="B581">
        <v>2000</v>
      </c>
      <c r="C581">
        <v>193677420074.37408</v>
      </c>
      <c r="D581">
        <v>48605362080.924568</v>
      </c>
      <c r="E581">
        <v>10289898</v>
      </c>
      <c r="F581" s="4">
        <v>1770</v>
      </c>
    </row>
    <row r="582" spans="1:6" x14ac:dyDescent="0.25">
      <c r="A582" t="s">
        <v>16</v>
      </c>
      <c r="B582">
        <v>2001</v>
      </c>
      <c r="C582">
        <v>197441874156.33386</v>
      </c>
      <c r="D582">
        <v>49078053405.28199</v>
      </c>
      <c r="E582">
        <v>10362722</v>
      </c>
      <c r="F582" s="4">
        <v>1755</v>
      </c>
    </row>
    <row r="583" spans="1:6" x14ac:dyDescent="0.25">
      <c r="A583" t="s">
        <v>16</v>
      </c>
      <c r="B583">
        <v>2002</v>
      </c>
      <c r="C583">
        <v>198964002686.34048</v>
      </c>
      <c r="D583">
        <v>47413379097.139412</v>
      </c>
      <c r="E583">
        <v>10419631</v>
      </c>
      <c r="F583" s="4">
        <v>1749</v>
      </c>
    </row>
    <row r="584" spans="1:6" x14ac:dyDescent="0.25">
      <c r="A584" t="s">
        <v>16</v>
      </c>
      <c r="B584">
        <v>2003</v>
      </c>
      <c r="C584">
        <v>197112600687.24438</v>
      </c>
      <c r="D584">
        <v>43945618747.748795</v>
      </c>
      <c r="E584">
        <v>10458821</v>
      </c>
      <c r="F584" s="4">
        <v>1742</v>
      </c>
    </row>
    <row r="585" spans="1:6" x14ac:dyDescent="0.25">
      <c r="A585" t="s">
        <v>16</v>
      </c>
      <c r="B585">
        <v>2004</v>
      </c>
      <c r="C585">
        <v>200638424065.2272</v>
      </c>
      <c r="D585">
        <v>44028603654.890205</v>
      </c>
      <c r="E585">
        <v>10483861</v>
      </c>
      <c r="F585" s="4">
        <v>1748</v>
      </c>
    </row>
    <row r="586" spans="1:6" x14ac:dyDescent="0.25">
      <c r="A586" t="s">
        <v>16</v>
      </c>
      <c r="B586">
        <v>2005</v>
      </c>
      <c r="C586">
        <v>202207111084.66315</v>
      </c>
      <c r="D586">
        <v>44077109339.442551</v>
      </c>
      <c r="E586">
        <v>10503330</v>
      </c>
      <c r="F586" s="4">
        <v>1750</v>
      </c>
    </row>
    <row r="587" spans="1:6" x14ac:dyDescent="0.25">
      <c r="A587" t="s">
        <v>16</v>
      </c>
      <c r="B587">
        <v>2006</v>
      </c>
      <c r="C587">
        <v>205493046680.56393</v>
      </c>
      <c r="D587">
        <v>43743542055.466377</v>
      </c>
      <c r="E587">
        <v>10522288</v>
      </c>
      <c r="F587" s="4">
        <v>1739</v>
      </c>
    </row>
    <row r="588" spans="1:6" x14ac:dyDescent="0.25">
      <c r="A588" t="s">
        <v>16</v>
      </c>
      <c r="B588">
        <v>2007</v>
      </c>
      <c r="C588">
        <v>210643893704.51706</v>
      </c>
      <c r="D588">
        <v>45093564055.392159</v>
      </c>
      <c r="E588">
        <v>10542964</v>
      </c>
      <c r="F588" s="4">
        <v>1755</v>
      </c>
    </row>
    <row r="589" spans="1:6" x14ac:dyDescent="0.25">
      <c r="A589" t="s">
        <v>16</v>
      </c>
      <c r="B589">
        <v>2008</v>
      </c>
      <c r="C589">
        <v>211316368358.01199</v>
      </c>
      <c r="D589">
        <v>45284531195.100754</v>
      </c>
      <c r="E589">
        <v>10558177</v>
      </c>
      <c r="F589" s="4">
        <v>1743</v>
      </c>
    </row>
    <row r="590" spans="1:6" x14ac:dyDescent="0.25">
      <c r="A590" t="s">
        <v>16</v>
      </c>
      <c r="B590">
        <v>2009</v>
      </c>
      <c r="C590">
        <v>204718906251.38815</v>
      </c>
      <c r="D590">
        <v>41870849613.512085</v>
      </c>
      <c r="E590">
        <v>10568247</v>
      </c>
      <c r="F590" s="4">
        <v>1743</v>
      </c>
    </row>
    <row r="591" spans="1:6" x14ac:dyDescent="0.25">
      <c r="A591" t="s">
        <v>16</v>
      </c>
      <c r="B591">
        <v>2010</v>
      </c>
      <c r="C591">
        <v>208276152143.94635</v>
      </c>
      <c r="D591">
        <v>41399582903.70623</v>
      </c>
      <c r="E591">
        <v>10573100</v>
      </c>
      <c r="F591" s="4">
        <v>1746</v>
      </c>
    </row>
    <row r="592" spans="1:6" x14ac:dyDescent="0.25">
      <c r="A592" t="s">
        <v>16</v>
      </c>
      <c r="B592">
        <v>2011</v>
      </c>
      <c r="C592">
        <v>204707282994.34598</v>
      </c>
      <c r="D592">
        <v>36206893929.621857</v>
      </c>
      <c r="E592">
        <v>10557560</v>
      </c>
      <c r="F592" s="4">
        <v>1724</v>
      </c>
    </row>
    <row r="593" spans="1:6" x14ac:dyDescent="0.25">
      <c r="A593" t="s">
        <v>16</v>
      </c>
      <c r="B593">
        <v>2012</v>
      </c>
      <c r="C593">
        <v>196414790306.89206</v>
      </c>
      <c r="D593">
        <v>30165818142.746861</v>
      </c>
      <c r="E593">
        <v>10514844</v>
      </c>
      <c r="F593" s="4">
        <v>1708</v>
      </c>
    </row>
    <row r="594" spans="1:6" x14ac:dyDescent="0.25">
      <c r="A594" t="s">
        <v>16</v>
      </c>
      <c r="B594">
        <v>2013</v>
      </c>
      <c r="C594">
        <v>194481859081.56705</v>
      </c>
      <c r="D594">
        <v>28755848051.827721</v>
      </c>
      <c r="E594">
        <v>10457295</v>
      </c>
      <c r="F594" s="4">
        <v>1718</v>
      </c>
    </row>
    <row r="595" spans="1:6" x14ac:dyDescent="0.25">
      <c r="A595" t="s">
        <v>16</v>
      </c>
      <c r="B595">
        <v>2014</v>
      </c>
      <c r="C595">
        <v>195923730996.63034</v>
      </c>
      <c r="D595">
        <v>29391436949.273811</v>
      </c>
      <c r="E595">
        <v>10401062</v>
      </c>
      <c r="F595" s="4">
        <v>1725</v>
      </c>
    </row>
    <row r="596" spans="1:6" x14ac:dyDescent="0.25">
      <c r="A596" t="s">
        <v>16</v>
      </c>
      <c r="B596">
        <v>2015</v>
      </c>
      <c r="C596">
        <v>199038523119.63934</v>
      </c>
      <c r="D596">
        <v>31157636124.96014</v>
      </c>
      <c r="E596">
        <v>10358076</v>
      </c>
      <c r="F596" s="4">
        <v>1732</v>
      </c>
    </row>
    <row r="597" spans="1:6" x14ac:dyDescent="0.25">
      <c r="A597" t="s">
        <v>16</v>
      </c>
      <c r="B597">
        <v>2016</v>
      </c>
      <c r="C597">
        <v>203027535953.58426</v>
      </c>
      <c r="D597">
        <v>31993504303.805843</v>
      </c>
      <c r="E597">
        <v>10325452</v>
      </c>
      <c r="F597" s="4">
        <v>1737</v>
      </c>
    </row>
    <row r="598" spans="1:6" x14ac:dyDescent="0.25">
      <c r="A598" t="s">
        <v>16</v>
      </c>
      <c r="B598">
        <v>2017</v>
      </c>
      <c r="C598">
        <v>209757331881.6987</v>
      </c>
      <c r="D598">
        <v>35689877565.283966</v>
      </c>
      <c r="E598">
        <v>10300300</v>
      </c>
      <c r="F598" s="4">
        <v>1727</v>
      </c>
    </row>
    <row r="599" spans="1:6" x14ac:dyDescent="0.25">
      <c r="A599" t="s">
        <v>16</v>
      </c>
      <c r="B599">
        <v>2018</v>
      </c>
      <c r="C599">
        <v>215937375267.63736</v>
      </c>
      <c r="D599">
        <v>37888935443.041382</v>
      </c>
      <c r="E599">
        <v>10283822</v>
      </c>
      <c r="F599" s="4">
        <v>1738</v>
      </c>
    </row>
    <row r="600" spans="1:6" x14ac:dyDescent="0.25">
      <c r="A600" t="s">
        <v>16</v>
      </c>
      <c r="B600">
        <v>2019</v>
      </c>
      <c r="C600">
        <v>221866334776.91467</v>
      </c>
      <c r="D600">
        <v>39981626539.000366</v>
      </c>
      <c r="E600">
        <v>10286263</v>
      </c>
      <c r="F600" s="4">
        <v>1744</v>
      </c>
    </row>
    <row r="601" spans="1:6" x14ac:dyDescent="0.25">
      <c r="A601" t="s">
        <v>16</v>
      </c>
      <c r="B601">
        <v>2020</v>
      </c>
      <c r="C601">
        <v>203663018337.79282</v>
      </c>
      <c r="D601">
        <v>39045284201.318336</v>
      </c>
      <c r="E601">
        <v>10297081</v>
      </c>
      <c r="F601" s="4">
        <v>1611</v>
      </c>
    </row>
    <row r="602" spans="1:6" x14ac:dyDescent="0.25">
      <c r="A602" t="s">
        <v>16</v>
      </c>
      <c r="B602">
        <v>2021</v>
      </c>
      <c r="C602">
        <v>214984151691.32443</v>
      </c>
      <c r="D602">
        <v>42086664294.406219</v>
      </c>
      <c r="E602">
        <v>10361831</v>
      </c>
      <c r="F602" s="4">
        <v>1649</v>
      </c>
    </row>
    <row r="603" spans="1:6" x14ac:dyDescent="0.25">
      <c r="A603" t="s">
        <v>16</v>
      </c>
      <c r="B603">
        <v>2022</v>
      </c>
      <c r="C603">
        <v>230002604720.8299</v>
      </c>
      <c r="D603">
        <v>43490893765.629265</v>
      </c>
      <c r="E603">
        <v>10434332</v>
      </c>
      <c r="F603" s="4">
        <v>1635</v>
      </c>
    </row>
    <row r="604" spans="1:6" x14ac:dyDescent="0.25">
      <c r="A604" t="s">
        <v>17</v>
      </c>
      <c r="B604">
        <v>1980</v>
      </c>
      <c r="C604">
        <v>558108730888.77271</v>
      </c>
      <c r="D604">
        <v>96384874884.405746</v>
      </c>
      <c r="E604">
        <v>37491165</v>
      </c>
      <c r="F604" s="4">
        <v>1918</v>
      </c>
    </row>
    <row r="605" spans="1:6" x14ac:dyDescent="0.25">
      <c r="A605" t="s">
        <v>17</v>
      </c>
      <c r="B605">
        <v>1981</v>
      </c>
      <c r="C605">
        <v>557369411412.15637</v>
      </c>
      <c r="D605">
        <v>94793719119.421768</v>
      </c>
      <c r="E605">
        <v>37758631</v>
      </c>
      <c r="F605" s="4">
        <v>1884</v>
      </c>
    </row>
    <row r="606" spans="1:6" x14ac:dyDescent="0.25">
      <c r="A606" t="s">
        <v>17</v>
      </c>
      <c r="B606">
        <v>1982</v>
      </c>
      <c r="C606">
        <v>564316808336.91882</v>
      </c>
      <c r="D606">
        <v>95750043784.263962</v>
      </c>
      <c r="E606">
        <v>37986012</v>
      </c>
      <c r="F606" s="4">
        <v>1863</v>
      </c>
    </row>
    <row r="607" spans="1:6" x14ac:dyDescent="0.25">
      <c r="A607" t="s">
        <v>17</v>
      </c>
      <c r="B607">
        <v>1983</v>
      </c>
      <c r="C607">
        <v>574305868280.55627</v>
      </c>
      <c r="D607">
        <v>94568509083.369812</v>
      </c>
      <c r="E607">
        <v>38171525</v>
      </c>
      <c r="F607" s="4">
        <v>1831</v>
      </c>
    </row>
    <row r="608" spans="1:6" x14ac:dyDescent="0.25">
      <c r="A608" t="s">
        <v>17</v>
      </c>
      <c r="B608">
        <v>1984</v>
      </c>
      <c r="C608">
        <v>584555434084.32214</v>
      </c>
      <c r="D608">
        <v>90046363100.837784</v>
      </c>
      <c r="E608">
        <v>38330364</v>
      </c>
      <c r="F608" s="4">
        <v>1787</v>
      </c>
    </row>
    <row r="609" spans="1:6" x14ac:dyDescent="0.25">
      <c r="A609" t="s">
        <v>17</v>
      </c>
      <c r="B609">
        <v>1985</v>
      </c>
      <c r="C609">
        <v>598125513453.22534</v>
      </c>
      <c r="D609">
        <v>96078066832.325653</v>
      </c>
      <c r="E609">
        <v>38469512</v>
      </c>
      <c r="F609" s="4">
        <v>1777</v>
      </c>
    </row>
    <row r="610" spans="1:6" x14ac:dyDescent="0.25">
      <c r="A610" t="s">
        <v>17</v>
      </c>
      <c r="B610">
        <v>1986</v>
      </c>
      <c r="C610">
        <v>617584460083.10291</v>
      </c>
      <c r="D610">
        <v>106132540327.45572</v>
      </c>
      <c r="E610">
        <v>38584624</v>
      </c>
      <c r="F610" s="4">
        <v>1769</v>
      </c>
    </row>
    <row r="611" spans="1:6" x14ac:dyDescent="0.25">
      <c r="A611" t="s">
        <v>17</v>
      </c>
      <c r="B611">
        <v>1987</v>
      </c>
      <c r="C611">
        <v>651842627761.88892</v>
      </c>
      <c r="D611">
        <v>119078836016.069</v>
      </c>
      <c r="E611">
        <v>38684815</v>
      </c>
      <c r="F611" s="4">
        <v>1761</v>
      </c>
    </row>
    <row r="612" spans="1:6" x14ac:dyDescent="0.25">
      <c r="A612" t="s">
        <v>17</v>
      </c>
      <c r="B612">
        <v>1988</v>
      </c>
      <c r="C612">
        <v>685049605204.65833</v>
      </c>
      <c r="D612">
        <v>135217235795.4229</v>
      </c>
      <c r="E612">
        <v>38766939</v>
      </c>
      <c r="F612" s="4">
        <v>1757</v>
      </c>
    </row>
    <row r="613" spans="1:6" x14ac:dyDescent="0.25">
      <c r="A613" t="s">
        <v>17</v>
      </c>
      <c r="B613">
        <v>1989</v>
      </c>
      <c r="C613">
        <v>718117156819.54028</v>
      </c>
      <c r="D613">
        <v>151458448586.78656</v>
      </c>
      <c r="E613">
        <v>38827764</v>
      </c>
      <c r="F613" s="4">
        <v>1754</v>
      </c>
    </row>
    <row r="614" spans="1:6" x14ac:dyDescent="0.25">
      <c r="A614" t="s">
        <v>17</v>
      </c>
      <c r="B614">
        <v>1990</v>
      </c>
      <c r="C614">
        <v>745271992193.86365</v>
      </c>
      <c r="D614">
        <v>161230593212.7424</v>
      </c>
      <c r="E614">
        <v>38867322</v>
      </c>
      <c r="F614" s="4">
        <v>1747</v>
      </c>
    </row>
    <row r="615" spans="1:6" x14ac:dyDescent="0.25">
      <c r="A615" t="s">
        <v>17</v>
      </c>
      <c r="B615">
        <v>1991</v>
      </c>
      <c r="C615">
        <v>764246620913.80298</v>
      </c>
      <c r="D615">
        <v>163910263227.38342</v>
      </c>
      <c r="E615">
        <v>38966376</v>
      </c>
      <c r="F615" s="4">
        <v>1756</v>
      </c>
    </row>
    <row r="616" spans="1:6" x14ac:dyDescent="0.25">
      <c r="A616" t="s">
        <v>17</v>
      </c>
      <c r="B616">
        <v>1992</v>
      </c>
      <c r="C616">
        <v>771348118083.94434</v>
      </c>
      <c r="D616">
        <v>157132754916.43344</v>
      </c>
      <c r="E616">
        <v>39157685</v>
      </c>
      <c r="F616" s="4">
        <v>1748</v>
      </c>
    </row>
    <row r="617" spans="1:6" x14ac:dyDescent="0.25">
      <c r="A617" t="s">
        <v>17</v>
      </c>
      <c r="B617">
        <v>1993</v>
      </c>
      <c r="C617">
        <v>763391725698.39587</v>
      </c>
      <c r="D617">
        <v>143138743986.17722</v>
      </c>
      <c r="E617">
        <v>39361262</v>
      </c>
      <c r="F617" s="4">
        <v>1740</v>
      </c>
    </row>
    <row r="618" spans="1:6" x14ac:dyDescent="0.25">
      <c r="A618" t="s">
        <v>17</v>
      </c>
      <c r="B618">
        <v>1994</v>
      </c>
      <c r="C618">
        <v>781584842385.51428</v>
      </c>
      <c r="D618">
        <v>145784142257.13971</v>
      </c>
      <c r="E618">
        <v>39549108</v>
      </c>
      <c r="F618" s="4">
        <v>1739</v>
      </c>
    </row>
    <row r="619" spans="1:6" x14ac:dyDescent="0.25">
      <c r="A619" t="s">
        <v>17</v>
      </c>
      <c r="B619">
        <v>1995</v>
      </c>
      <c r="C619">
        <v>803136997144.35803</v>
      </c>
      <c r="D619">
        <v>157075637192.82407</v>
      </c>
      <c r="E619">
        <v>39724050</v>
      </c>
      <c r="F619" s="4">
        <v>1739</v>
      </c>
    </row>
    <row r="620" spans="1:6" x14ac:dyDescent="0.25">
      <c r="A620" t="s">
        <v>17</v>
      </c>
      <c r="B620">
        <v>1996</v>
      </c>
      <c r="C620">
        <v>824078081021.61267</v>
      </c>
      <c r="D620">
        <v>161003420448.38696</v>
      </c>
      <c r="E620">
        <v>39889852</v>
      </c>
      <c r="F620" s="4">
        <v>1740</v>
      </c>
    </row>
    <row r="621" spans="1:6" x14ac:dyDescent="0.25">
      <c r="A621" t="s">
        <v>17</v>
      </c>
      <c r="B621">
        <v>1997</v>
      </c>
      <c r="C621">
        <v>853640232062.28967</v>
      </c>
      <c r="D621">
        <v>169897923735.16507</v>
      </c>
      <c r="E621">
        <v>40057389</v>
      </c>
      <c r="F621" s="4">
        <v>1743</v>
      </c>
    </row>
    <row r="622" spans="1:6" x14ac:dyDescent="0.25">
      <c r="A622" t="s">
        <v>17</v>
      </c>
      <c r="B622">
        <v>1998</v>
      </c>
      <c r="C622">
        <v>890363641965.93579</v>
      </c>
      <c r="D622">
        <v>188185911541.02209</v>
      </c>
      <c r="E622">
        <v>40223509</v>
      </c>
      <c r="F622" s="4">
        <v>1751</v>
      </c>
    </row>
    <row r="623" spans="1:6" x14ac:dyDescent="0.25">
      <c r="A623" t="s">
        <v>17</v>
      </c>
      <c r="B623">
        <v>1999</v>
      </c>
      <c r="C623">
        <v>929618577504.04077</v>
      </c>
      <c r="D623">
        <v>206835268804.86859</v>
      </c>
      <c r="E623">
        <v>40386875</v>
      </c>
      <c r="F623" s="4">
        <v>1756</v>
      </c>
    </row>
    <row r="624" spans="1:6" x14ac:dyDescent="0.25">
      <c r="A624" t="s">
        <v>17</v>
      </c>
      <c r="B624">
        <v>2000</v>
      </c>
      <c r="C624">
        <v>977964704117.09656</v>
      </c>
      <c r="D624">
        <v>222680867022.87369</v>
      </c>
      <c r="E624">
        <v>40567864</v>
      </c>
      <c r="F624" s="4">
        <v>1752.8</v>
      </c>
    </row>
    <row r="625" spans="1:6" x14ac:dyDescent="0.25">
      <c r="A625" t="s">
        <v>17</v>
      </c>
      <c r="B625">
        <v>2001</v>
      </c>
      <c r="C625">
        <v>1016292009212.7367</v>
      </c>
      <c r="D625">
        <v>232006071009.15063</v>
      </c>
      <c r="E625">
        <v>40850412</v>
      </c>
      <c r="F625" s="4">
        <v>1762.1</v>
      </c>
    </row>
    <row r="626" spans="1:6" x14ac:dyDescent="0.25">
      <c r="A626" t="s">
        <v>17</v>
      </c>
      <c r="B626">
        <v>2002</v>
      </c>
      <c r="C626">
        <v>1044295489916.3542</v>
      </c>
      <c r="D626">
        <v>241481495274.228</v>
      </c>
      <c r="E626">
        <v>41431558</v>
      </c>
      <c r="F626" s="4">
        <v>1763.6</v>
      </c>
    </row>
    <row r="627" spans="1:6" x14ac:dyDescent="0.25">
      <c r="A627" t="s">
        <v>17</v>
      </c>
      <c r="B627">
        <v>2003</v>
      </c>
      <c r="C627">
        <v>1074990359309.7637</v>
      </c>
      <c r="D627">
        <v>257364910129.59711</v>
      </c>
      <c r="E627">
        <v>42187645</v>
      </c>
      <c r="F627" s="4">
        <v>1754.6</v>
      </c>
    </row>
    <row r="628" spans="1:6" x14ac:dyDescent="0.25">
      <c r="A628" t="s">
        <v>17</v>
      </c>
      <c r="B628">
        <v>2004</v>
      </c>
      <c r="C628">
        <v>1108471272156.6897</v>
      </c>
      <c r="D628">
        <v>269114646093.75137</v>
      </c>
      <c r="E628">
        <v>42921895</v>
      </c>
      <c r="F628" s="4">
        <v>1739.9</v>
      </c>
    </row>
    <row r="629" spans="1:6" x14ac:dyDescent="0.25">
      <c r="A629" t="s">
        <v>17</v>
      </c>
      <c r="B629">
        <v>2005</v>
      </c>
      <c r="C629">
        <v>1147835586804.0913</v>
      </c>
      <c r="D629">
        <v>287889012174.98456</v>
      </c>
      <c r="E629">
        <v>43653155</v>
      </c>
      <c r="F629" s="4">
        <v>1723.7</v>
      </c>
    </row>
    <row r="630" spans="1:6" x14ac:dyDescent="0.25">
      <c r="A630" t="s">
        <v>17</v>
      </c>
      <c r="B630">
        <v>2006</v>
      </c>
      <c r="C630">
        <v>1194247575041.7971</v>
      </c>
      <c r="D630">
        <v>308788519275.68884</v>
      </c>
      <c r="E630">
        <v>44397319</v>
      </c>
      <c r="F630" s="4">
        <v>1713.7</v>
      </c>
    </row>
    <row r="631" spans="1:6" x14ac:dyDescent="0.25">
      <c r="A631" t="s">
        <v>17</v>
      </c>
      <c r="B631">
        <v>2007</v>
      </c>
      <c r="C631">
        <v>1236446314561.824</v>
      </c>
      <c r="D631">
        <v>321125479360.87402</v>
      </c>
      <c r="E631">
        <v>45226803</v>
      </c>
      <c r="F631" s="4">
        <v>1701.3</v>
      </c>
    </row>
    <row r="632" spans="1:6" x14ac:dyDescent="0.25">
      <c r="A632" t="s">
        <v>17</v>
      </c>
      <c r="B632">
        <v>2008</v>
      </c>
      <c r="C632">
        <v>1245931907512.5439</v>
      </c>
      <c r="D632">
        <v>307645585637.77246</v>
      </c>
      <c r="E632">
        <v>45954106</v>
      </c>
      <c r="F632" s="4">
        <v>1710.1</v>
      </c>
    </row>
    <row r="633" spans="1:6" x14ac:dyDescent="0.25">
      <c r="A633" t="s">
        <v>17</v>
      </c>
      <c r="B633">
        <v>2009</v>
      </c>
      <c r="C633">
        <v>1198983535253.4814</v>
      </c>
      <c r="D633">
        <v>254950883019.76822</v>
      </c>
      <c r="E633">
        <v>46362946</v>
      </c>
      <c r="F633" s="4">
        <v>1715.8</v>
      </c>
    </row>
    <row r="634" spans="1:6" x14ac:dyDescent="0.25">
      <c r="A634" t="s">
        <v>17</v>
      </c>
      <c r="B634">
        <v>2010</v>
      </c>
      <c r="C634">
        <v>1200112046333.333</v>
      </c>
      <c r="D634">
        <v>241838661897.38776</v>
      </c>
      <c r="E634">
        <v>46576897</v>
      </c>
      <c r="F634" s="4">
        <v>1705.8</v>
      </c>
    </row>
    <row r="635" spans="1:6" x14ac:dyDescent="0.25">
      <c r="A635" t="s">
        <v>17</v>
      </c>
      <c r="B635">
        <v>2011</v>
      </c>
      <c r="C635">
        <v>1192432281030.2139</v>
      </c>
      <c r="D635">
        <v>224075918603.46552</v>
      </c>
      <c r="E635">
        <v>46742697</v>
      </c>
      <c r="F635" s="4">
        <v>1710.7</v>
      </c>
    </row>
    <row r="636" spans="1:6" x14ac:dyDescent="0.25">
      <c r="A636" t="s">
        <v>17</v>
      </c>
      <c r="B636">
        <v>2012</v>
      </c>
      <c r="C636">
        <v>1158267740706.2163</v>
      </c>
      <c r="D636">
        <v>208091655683.41589</v>
      </c>
      <c r="E636">
        <v>46773055</v>
      </c>
      <c r="F636" s="4">
        <v>1696.7</v>
      </c>
    </row>
    <row r="637" spans="1:6" x14ac:dyDescent="0.25">
      <c r="A637" t="s">
        <v>17</v>
      </c>
      <c r="B637">
        <v>2013</v>
      </c>
      <c r="C637">
        <v>1141735528202.4382</v>
      </c>
      <c r="D637">
        <v>200781292711.61435</v>
      </c>
      <c r="E637">
        <v>46620045</v>
      </c>
      <c r="F637" s="4">
        <v>1689.8</v>
      </c>
    </row>
    <row r="638" spans="1:6" x14ac:dyDescent="0.25">
      <c r="A638" t="s">
        <v>17</v>
      </c>
      <c r="B638">
        <v>2014</v>
      </c>
      <c r="C638">
        <v>1159095456184.3418</v>
      </c>
      <c r="D638">
        <v>209553938197.61514</v>
      </c>
      <c r="E638">
        <v>46480882</v>
      </c>
      <c r="F638" s="4">
        <v>1690.6</v>
      </c>
    </row>
    <row r="639" spans="1:6" x14ac:dyDescent="0.25">
      <c r="A639" t="s">
        <v>17</v>
      </c>
      <c r="B639">
        <v>2015</v>
      </c>
      <c r="C639">
        <v>1206164777553.1243</v>
      </c>
      <c r="D639">
        <v>220715399332.03113</v>
      </c>
      <c r="E639">
        <v>46444832</v>
      </c>
      <c r="F639" s="4">
        <v>1694.2</v>
      </c>
    </row>
    <row r="640" spans="1:6" x14ac:dyDescent="0.25">
      <c r="A640" t="s">
        <v>17</v>
      </c>
      <c r="B640">
        <v>2016</v>
      </c>
      <c r="C640">
        <v>1241326362774.563</v>
      </c>
      <c r="D640">
        <v>225203094939.30923</v>
      </c>
      <c r="E640">
        <v>46484062</v>
      </c>
      <c r="F640" s="4">
        <v>1701.5</v>
      </c>
    </row>
    <row r="641" spans="1:6" x14ac:dyDescent="0.25">
      <c r="A641" t="s">
        <v>17</v>
      </c>
      <c r="B641">
        <v>2017</v>
      </c>
      <c r="C641">
        <v>1277275696600.7808</v>
      </c>
      <c r="D641">
        <v>240405792569.91901</v>
      </c>
      <c r="E641">
        <v>46593236</v>
      </c>
      <c r="F641" s="4">
        <v>1692.4</v>
      </c>
    </row>
    <row r="642" spans="1:6" x14ac:dyDescent="0.25">
      <c r="A642" t="s">
        <v>17</v>
      </c>
      <c r="B642">
        <v>2018</v>
      </c>
      <c r="C642">
        <v>1307871701738.5581</v>
      </c>
      <c r="D642">
        <v>256004525279.27292</v>
      </c>
      <c r="E642">
        <v>46797754</v>
      </c>
      <c r="F642" s="4">
        <v>1697.6</v>
      </c>
    </row>
    <row r="643" spans="1:6" x14ac:dyDescent="0.25">
      <c r="A643" t="s">
        <v>17</v>
      </c>
      <c r="B643">
        <v>2019</v>
      </c>
      <c r="C643">
        <v>1333521400772.7949</v>
      </c>
      <c r="D643">
        <v>268526371264.01315</v>
      </c>
      <c r="E643">
        <v>47134837</v>
      </c>
      <c r="F643" s="4">
        <v>1677.5</v>
      </c>
    </row>
    <row r="644" spans="1:6" x14ac:dyDescent="0.25">
      <c r="A644" t="s">
        <v>17</v>
      </c>
      <c r="B644">
        <v>2020</v>
      </c>
      <c r="C644">
        <v>1187633217272.8755</v>
      </c>
      <c r="D644">
        <v>244552078856.11005</v>
      </c>
      <c r="E644">
        <v>47365655</v>
      </c>
      <c r="F644" s="4">
        <v>1557.8</v>
      </c>
    </row>
    <row r="645" spans="1:6" x14ac:dyDescent="0.25">
      <c r="A645" t="s">
        <v>17</v>
      </c>
      <c r="B645">
        <v>2021</v>
      </c>
      <c r="C645">
        <v>1267004457572.2092</v>
      </c>
      <c r="D645">
        <v>250996837594.08426</v>
      </c>
      <c r="E645">
        <v>47415794</v>
      </c>
      <c r="F645" s="4">
        <v>1633</v>
      </c>
    </row>
    <row r="646" spans="1:6" x14ac:dyDescent="0.25">
      <c r="A646" t="s">
        <v>17</v>
      </c>
      <c r="B646">
        <v>2022</v>
      </c>
      <c r="C646">
        <v>1345296618919.5081</v>
      </c>
      <c r="D646">
        <v>259162299931.66473</v>
      </c>
      <c r="E646">
        <v>47759127</v>
      </c>
      <c r="F646" s="4">
        <v>1652.2</v>
      </c>
    </row>
    <row r="647" spans="1:6" x14ac:dyDescent="0.25">
      <c r="A647" t="s">
        <v>18</v>
      </c>
      <c r="B647">
        <v>1980</v>
      </c>
      <c r="C647">
        <v>240429247341.06314</v>
      </c>
      <c r="D647">
        <v>52521464572.192642</v>
      </c>
      <c r="E647">
        <v>8310531</v>
      </c>
      <c r="F647" s="4">
        <v>1381</v>
      </c>
    </row>
    <row r="648" spans="1:6" x14ac:dyDescent="0.25">
      <c r="A648" t="s">
        <v>18</v>
      </c>
      <c r="B648">
        <v>1981</v>
      </c>
      <c r="C648">
        <v>241522792694.46786</v>
      </c>
      <c r="D648">
        <v>50891921671.313957</v>
      </c>
      <c r="E648">
        <v>8320503</v>
      </c>
      <c r="F648" s="4">
        <v>1373</v>
      </c>
    </row>
    <row r="649" spans="1:6" x14ac:dyDescent="0.25">
      <c r="A649" t="s">
        <v>18</v>
      </c>
      <c r="B649">
        <v>1982</v>
      </c>
      <c r="C649">
        <v>244538602536.36469</v>
      </c>
      <c r="D649">
        <v>51224890372.85733</v>
      </c>
      <c r="E649">
        <v>8325263</v>
      </c>
      <c r="F649" s="4">
        <v>1386</v>
      </c>
    </row>
    <row r="650" spans="1:6" x14ac:dyDescent="0.25">
      <c r="A650" t="s">
        <v>18</v>
      </c>
      <c r="B650">
        <v>1983</v>
      </c>
      <c r="C650">
        <v>249186397767.43451</v>
      </c>
      <c r="D650">
        <v>52948885678.43956</v>
      </c>
      <c r="E650">
        <v>8329033</v>
      </c>
      <c r="F650" s="4">
        <v>1395</v>
      </c>
    </row>
    <row r="651" spans="1:6" x14ac:dyDescent="0.25">
      <c r="A651" t="s">
        <v>18</v>
      </c>
      <c r="B651">
        <v>1984</v>
      </c>
      <c r="C651">
        <v>259725824385.73959</v>
      </c>
      <c r="D651">
        <v>57223096503.796967</v>
      </c>
      <c r="E651">
        <v>8336605</v>
      </c>
      <c r="F651" s="4">
        <v>1397</v>
      </c>
    </row>
    <row r="652" spans="1:6" x14ac:dyDescent="0.25">
      <c r="A652" t="s">
        <v>18</v>
      </c>
      <c r="B652">
        <v>1985</v>
      </c>
      <c r="C652">
        <v>265336872885.07407</v>
      </c>
      <c r="D652">
        <v>61744410154.350937</v>
      </c>
      <c r="E652">
        <v>8350386</v>
      </c>
      <c r="F652" s="4">
        <v>1401</v>
      </c>
    </row>
    <row r="653" spans="1:6" x14ac:dyDescent="0.25">
      <c r="A653" t="s">
        <v>18</v>
      </c>
      <c r="B653">
        <v>1986</v>
      </c>
      <c r="C653">
        <v>272477945632.05042</v>
      </c>
      <c r="D653">
        <v>62541245226.026367</v>
      </c>
      <c r="E653">
        <v>8369829</v>
      </c>
      <c r="F653" s="4">
        <v>1400</v>
      </c>
    </row>
    <row r="654" spans="1:6" x14ac:dyDescent="0.25">
      <c r="A654" t="s">
        <v>18</v>
      </c>
      <c r="B654">
        <v>1987</v>
      </c>
      <c r="C654">
        <v>281616428091.06543</v>
      </c>
      <c r="D654">
        <v>66358077296.262039</v>
      </c>
      <c r="E654">
        <v>8397804</v>
      </c>
      <c r="F654" s="4">
        <v>1408</v>
      </c>
    </row>
    <row r="655" spans="1:6" x14ac:dyDescent="0.25">
      <c r="A655" t="s">
        <v>18</v>
      </c>
      <c r="B655">
        <v>1988</v>
      </c>
      <c r="C655">
        <v>288823101483.14386</v>
      </c>
      <c r="D655">
        <v>70102400470.113678</v>
      </c>
      <c r="E655">
        <v>8436489</v>
      </c>
      <c r="F655" s="4">
        <v>1426</v>
      </c>
    </row>
    <row r="656" spans="1:6" x14ac:dyDescent="0.25">
      <c r="A656" t="s">
        <v>18</v>
      </c>
      <c r="B656">
        <v>1989</v>
      </c>
      <c r="C656">
        <v>296490797089.72961</v>
      </c>
      <c r="D656">
        <v>78116545767.658813</v>
      </c>
      <c r="E656">
        <v>8492964</v>
      </c>
      <c r="F656" s="4">
        <v>1424</v>
      </c>
    </row>
    <row r="657" spans="1:6" x14ac:dyDescent="0.25">
      <c r="A657" t="s">
        <v>18</v>
      </c>
      <c r="B657">
        <v>1990</v>
      </c>
      <c r="C657">
        <v>298728338303.95325</v>
      </c>
      <c r="D657">
        <v>78271295101.49826</v>
      </c>
      <c r="E657">
        <v>8558835</v>
      </c>
      <c r="F657" s="4">
        <v>1422</v>
      </c>
    </row>
    <row r="658" spans="1:6" x14ac:dyDescent="0.25">
      <c r="A658" t="s">
        <v>18</v>
      </c>
      <c r="B658">
        <v>1991</v>
      </c>
      <c r="C658">
        <v>295304986687.65619</v>
      </c>
      <c r="D658">
        <v>71372833334.436646</v>
      </c>
      <c r="E658">
        <v>8617375</v>
      </c>
      <c r="F658" s="4">
        <v>1410</v>
      </c>
    </row>
    <row r="659" spans="1:6" x14ac:dyDescent="0.25">
      <c r="A659" t="s">
        <v>18</v>
      </c>
      <c r="B659">
        <v>1992</v>
      </c>
      <c r="C659">
        <v>291883604521.6817</v>
      </c>
      <c r="D659">
        <v>63834003111.499207</v>
      </c>
      <c r="E659">
        <v>8668067</v>
      </c>
      <c r="F659" s="4">
        <v>1425</v>
      </c>
    </row>
    <row r="660" spans="1:6" x14ac:dyDescent="0.25">
      <c r="A660" t="s">
        <v>18</v>
      </c>
      <c r="B660">
        <v>1993</v>
      </c>
      <c r="C660">
        <v>285854408950.02057</v>
      </c>
      <c r="D660">
        <v>53027882189.833916</v>
      </c>
      <c r="E660">
        <v>8718561</v>
      </c>
      <c r="F660" s="4">
        <v>1441</v>
      </c>
    </row>
    <row r="661" spans="1:6" x14ac:dyDescent="0.25">
      <c r="A661" t="s">
        <v>18</v>
      </c>
      <c r="B661">
        <v>1994</v>
      </c>
      <c r="C661">
        <v>297333335691.27802</v>
      </c>
      <c r="D661">
        <v>57060542161.97921</v>
      </c>
      <c r="E661">
        <v>8780745</v>
      </c>
      <c r="F661" s="4">
        <v>1476</v>
      </c>
    </row>
    <row r="662" spans="1:6" x14ac:dyDescent="0.25">
      <c r="A662" t="s">
        <v>18</v>
      </c>
      <c r="B662">
        <v>1995</v>
      </c>
      <c r="C662">
        <v>309506914307.51154</v>
      </c>
      <c r="D662">
        <v>61759386963.338341</v>
      </c>
      <c r="E662">
        <v>8826939</v>
      </c>
      <c r="F662" s="4">
        <v>1481</v>
      </c>
    </row>
    <row r="663" spans="1:6" x14ac:dyDescent="0.25">
      <c r="A663" t="s">
        <v>18</v>
      </c>
      <c r="B663">
        <v>1996</v>
      </c>
      <c r="C663">
        <v>314783454064.38702</v>
      </c>
      <c r="D663">
        <v>64939992208.902649</v>
      </c>
      <c r="E663">
        <v>8840998</v>
      </c>
      <c r="F663" s="4">
        <v>1493</v>
      </c>
    </row>
    <row r="664" spans="1:6" x14ac:dyDescent="0.25">
      <c r="A664" t="s">
        <v>18</v>
      </c>
      <c r="B664">
        <v>1997</v>
      </c>
      <c r="C664">
        <v>324431161307.23267</v>
      </c>
      <c r="D664">
        <v>65772829975.353287</v>
      </c>
      <c r="E664">
        <v>8846062</v>
      </c>
      <c r="F664" s="4">
        <v>1497</v>
      </c>
    </row>
    <row r="665" spans="1:6" x14ac:dyDescent="0.25">
      <c r="A665" t="s">
        <v>18</v>
      </c>
      <c r="B665">
        <v>1998</v>
      </c>
      <c r="C665">
        <v>338205617434.59088</v>
      </c>
      <c r="D665">
        <v>70861990737.031372</v>
      </c>
      <c r="E665">
        <v>8850974</v>
      </c>
      <c r="F665" s="4">
        <v>1496</v>
      </c>
    </row>
    <row r="666" spans="1:6" x14ac:dyDescent="0.25">
      <c r="A666" t="s">
        <v>18</v>
      </c>
      <c r="B666">
        <v>1999</v>
      </c>
      <c r="C666">
        <v>352413884474.60321</v>
      </c>
      <c r="D666">
        <v>74961589375.970337</v>
      </c>
      <c r="E666">
        <v>8857874</v>
      </c>
      <c r="F666" s="4">
        <v>1504</v>
      </c>
    </row>
    <row r="667" spans="1:6" x14ac:dyDescent="0.25">
      <c r="A667" t="s">
        <v>18</v>
      </c>
      <c r="B667">
        <v>2000</v>
      </c>
      <c r="C667">
        <v>368734580231.65613</v>
      </c>
      <c r="D667">
        <v>79300117834.667786</v>
      </c>
      <c r="E667">
        <v>8872109</v>
      </c>
      <c r="F667" s="4">
        <v>1485</v>
      </c>
    </row>
    <row r="668" spans="1:6" x14ac:dyDescent="0.25">
      <c r="A668" t="s">
        <v>18</v>
      </c>
      <c r="B668">
        <v>2001</v>
      </c>
      <c r="C668">
        <v>373752198445.94965</v>
      </c>
      <c r="D668">
        <v>81277426871.026794</v>
      </c>
      <c r="E668">
        <v>8895960</v>
      </c>
      <c r="F668" s="4">
        <v>1465</v>
      </c>
    </row>
    <row r="669" spans="1:6" x14ac:dyDescent="0.25">
      <c r="A669" t="s">
        <v>18</v>
      </c>
      <c r="B669">
        <v>2002</v>
      </c>
      <c r="C669">
        <v>382265044440.17859</v>
      </c>
      <c r="D669">
        <v>80580601866.721725</v>
      </c>
      <c r="E669">
        <v>8924958</v>
      </c>
      <c r="F669" s="4">
        <v>1443</v>
      </c>
    </row>
    <row r="670" spans="1:6" x14ac:dyDescent="0.25">
      <c r="A670" t="s">
        <v>18</v>
      </c>
      <c r="B670">
        <v>2003</v>
      </c>
      <c r="C670">
        <v>389455236312.00702</v>
      </c>
      <c r="D670">
        <v>81498741183.517761</v>
      </c>
      <c r="E670">
        <v>8958229</v>
      </c>
      <c r="F670" s="4">
        <v>1431</v>
      </c>
    </row>
    <row r="671" spans="1:6" x14ac:dyDescent="0.25">
      <c r="A671" t="s">
        <v>18</v>
      </c>
      <c r="B671">
        <v>2004</v>
      </c>
      <c r="C671">
        <v>405732636290.60767</v>
      </c>
      <c r="D671">
        <v>85863532734.119034</v>
      </c>
      <c r="E671">
        <v>8993531</v>
      </c>
      <c r="F671" s="4">
        <v>1452</v>
      </c>
    </row>
    <row r="672" spans="1:6" x14ac:dyDescent="0.25">
      <c r="A672" t="s">
        <v>18</v>
      </c>
      <c r="B672">
        <v>2005</v>
      </c>
      <c r="C672">
        <v>417065466380.56494</v>
      </c>
      <c r="D672">
        <v>88580904697.96463</v>
      </c>
      <c r="E672">
        <v>9029572</v>
      </c>
      <c r="F672" s="4">
        <v>1451</v>
      </c>
    </row>
    <row r="673" spans="1:6" x14ac:dyDescent="0.25">
      <c r="A673" t="s">
        <v>18</v>
      </c>
      <c r="B673">
        <v>2006</v>
      </c>
      <c r="C673">
        <v>436567442203.26624</v>
      </c>
      <c r="D673">
        <v>97516321677.281281</v>
      </c>
      <c r="E673">
        <v>9080505</v>
      </c>
      <c r="F673" s="4">
        <v>1450</v>
      </c>
    </row>
    <row r="674" spans="1:6" x14ac:dyDescent="0.25">
      <c r="A674" t="s">
        <v>18</v>
      </c>
      <c r="B674">
        <v>2007</v>
      </c>
      <c r="C674">
        <v>450646355053.72614</v>
      </c>
      <c r="D674">
        <v>105745518809.92822</v>
      </c>
      <c r="E674">
        <v>9148092</v>
      </c>
      <c r="F674" s="4">
        <v>1461</v>
      </c>
    </row>
    <row r="675" spans="1:6" x14ac:dyDescent="0.25">
      <c r="A675" t="s">
        <v>18</v>
      </c>
      <c r="B675">
        <v>2008</v>
      </c>
      <c r="C675">
        <v>446486334527.75098</v>
      </c>
      <c r="D675">
        <v>106243342430.19214</v>
      </c>
      <c r="E675">
        <v>9219637</v>
      </c>
      <c r="F675" s="4">
        <v>1471</v>
      </c>
    </row>
    <row r="676" spans="1:6" x14ac:dyDescent="0.25">
      <c r="A676" t="s">
        <v>18</v>
      </c>
      <c r="B676">
        <v>2009</v>
      </c>
      <c r="C676">
        <v>427485779310.79321</v>
      </c>
      <c r="D676">
        <v>93139786573.724182</v>
      </c>
      <c r="E676">
        <v>9298515</v>
      </c>
      <c r="F676" s="4">
        <v>1457</v>
      </c>
    </row>
    <row r="677" spans="1:6" x14ac:dyDescent="0.25">
      <c r="A677" t="s">
        <v>18</v>
      </c>
      <c r="B677">
        <v>2010</v>
      </c>
      <c r="C677">
        <v>452069357246.31836</v>
      </c>
      <c r="D677">
        <v>98737660550.599258</v>
      </c>
      <c r="E677">
        <v>9378126</v>
      </c>
      <c r="F677" s="4">
        <v>1483</v>
      </c>
    </row>
    <row r="678" spans="1:6" x14ac:dyDescent="0.25">
      <c r="A678" t="s">
        <v>18</v>
      </c>
      <c r="B678">
        <v>2011</v>
      </c>
      <c r="C678">
        <v>466372427023.66748</v>
      </c>
      <c r="D678">
        <v>104321014988.52631</v>
      </c>
      <c r="E678">
        <v>9449213</v>
      </c>
      <c r="F678" s="4">
        <v>1484</v>
      </c>
    </row>
    <row r="679" spans="1:6" x14ac:dyDescent="0.25">
      <c r="A679" t="s">
        <v>18</v>
      </c>
      <c r="B679">
        <v>2012</v>
      </c>
      <c r="C679">
        <v>464439473181.12811</v>
      </c>
      <c r="D679">
        <v>103305510230.43414</v>
      </c>
      <c r="E679">
        <v>9519374</v>
      </c>
      <c r="F679" s="4">
        <v>1471</v>
      </c>
    </row>
    <row r="680" spans="1:6" x14ac:dyDescent="0.25">
      <c r="A680" t="s">
        <v>18</v>
      </c>
      <c r="B680">
        <v>2013</v>
      </c>
      <c r="C680">
        <v>469723477690.59869</v>
      </c>
      <c r="D680">
        <v>103270492853.59962</v>
      </c>
      <c r="E680">
        <v>9600379</v>
      </c>
      <c r="F680" s="4">
        <v>1463</v>
      </c>
    </row>
    <row r="681" spans="1:6" x14ac:dyDescent="0.25">
      <c r="A681" t="s">
        <v>18</v>
      </c>
      <c r="B681">
        <v>2014</v>
      </c>
      <c r="C681">
        <v>480507219292.5199</v>
      </c>
      <c r="D681">
        <v>109032457419.41983</v>
      </c>
      <c r="E681">
        <v>9696110</v>
      </c>
      <c r="F681" s="4">
        <v>1464</v>
      </c>
    </row>
    <row r="682" spans="1:6" x14ac:dyDescent="0.25">
      <c r="A682" t="s">
        <v>18</v>
      </c>
      <c r="B682">
        <v>2015</v>
      </c>
      <c r="C682">
        <v>501698263620.66321</v>
      </c>
      <c r="D682">
        <v>116589277667.65807</v>
      </c>
      <c r="E682">
        <v>9799186</v>
      </c>
      <c r="F682" s="4">
        <v>1465</v>
      </c>
    </row>
    <row r="683" spans="1:6" x14ac:dyDescent="0.25">
      <c r="A683" t="s">
        <v>18</v>
      </c>
      <c r="B683">
        <v>2016</v>
      </c>
      <c r="C683">
        <v>513486872435.54993</v>
      </c>
      <c r="D683">
        <v>122507753070.6221</v>
      </c>
      <c r="E683">
        <v>9923085</v>
      </c>
      <c r="F683" s="4">
        <v>1478</v>
      </c>
    </row>
    <row r="684" spans="1:6" x14ac:dyDescent="0.25">
      <c r="A684" t="s">
        <v>18</v>
      </c>
      <c r="B684">
        <v>2017</v>
      </c>
      <c r="C684">
        <v>522858808973.77148</v>
      </c>
      <c r="D684">
        <v>127492288502.97418</v>
      </c>
      <c r="E684">
        <v>10057698</v>
      </c>
      <c r="F684" s="4">
        <v>1466</v>
      </c>
    </row>
    <row r="685" spans="1:6" x14ac:dyDescent="0.25">
      <c r="A685" t="s">
        <v>18</v>
      </c>
      <c r="B685">
        <v>2018</v>
      </c>
      <c r="C685">
        <v>532808626955.91278</v>
      </c>
      <c r="D685">
        <v>129239955980.20082</v>
      </c>
      <c r="E685">
        <v>10175214</v>
      </c>
      <c r="F685" s="4">
        <v>1465</v>
      </c>
    </row>
    <row r="686" spans="1:6" x14ac:dyDescent="0.25">
      <c r="A686" t="s">
        <v>18</v>
      </c>
      <c r="B686">
        <v>2019</v>
      </c>
      <c r="C686">
        <v>546393370671.19141</v>
      </c>
      <c r="D686">
        <v>129320239771.36896</v>
      </c>
      <c r="E686">
        <v>10278887</v>
      </c>
      <c r="F686" s="4">
        <v>1453</v>
      </c>
    </row>
    <row r="687" spans="1:6" x14ac:dyDescent="0.25">
      <c r="A687" t="s">
        <v>18</v>
      </c>
      <c r="B687">
        <v>2020</v>
      </c>
      <c r="C687">
        <v>535436339492.27863</v>
      </c>
      <c r="D687">
        <v>131447333732.53735</v>
      </c>
      <c r="E687">
        <v>10353442</v>
      </c>
      <c r="F687" s="4">
        <v>1426</v>
      </c>
    </row>
    <row r="688" spans="1:6" x14ac:dyDescent="0.25">
      <c r="A688" t="s">
        <v>18</v>
      </c>
      <c r="B688">
        <v>2021</v>
      </c>
      <c r="C688">
        <v>567227918052.9884</v>
      </c>
      <c r="D688">
        <v>141042743367.31705</v>
      </c>
      <c r="E688">
        <v>10415811</v>
      </c>
      <c r="F688" s="4">
        <v>1447</v>
      </c>
    </row>
    <row r="689" spans="1:6" x14ac:dyDescent="0.25">
      <c r="A689" t="s">
        <v>18</v>
      </c>
      <c r="B689">
        <v>2022</v>
      </c>
      <c r="C689">
        <v>575505409872.87952</v>
      </c>
      <c r="D689">
        <v>141408290988.3006</v>
      </c>
      <c r="E689">
        <v>10486941</v>
      </c>
      <c r="F689" s="4">
        <v>1440</v>
      </c>
    </row>
    <row r="690" spans="1:6" x14ac:dyDescent="0.25">
      <c r="A690" t="s">
        <v>19</v>
      </c>
      <c r="B690">
        <v>1980</v>
      </c>
      <c r="C690">
        <v>377720174344.81567</v>
      </c>
      <c r="D690">
        <v>85828928301.512466</v>
      </c>
      <c r="E690">
        <v>6319408</v>
      </c>
      <c r="F690" s="3" t="s">
        <v>28</v>
      </c>
    </row>
    <row r="691" spans="1:6" x14ac:dyDescent="0.25">
      <c r="A691" t="s">
        <v>19</v>
      </c>
      <c r="B691">
        <v>1981</v>
      </c>
      <c r="C691">
        <v>383768742444.18933</v>
      </c>
      <c r="D691">
        <v>86976187675.600204</v>
      </c>
      <c r="E691">
        <v>6354074</v>
      </c>
      <c r="F691" s="3" t="s">
        <v>28</v>
      </c>
    </row>
    <row r="692" spans="1:6" x14ac:dyDescent="0.25">
      <c r="A692" t="s">
        <v>19</v>
      </c>
      <c r="B692">
        <v>1982</v>
      </c>
      <c r="C692">
        <v>378743607542.59229</v>
      </c>
      <c r="D692">
        <v>83378781014.376678</v>
      </c>
      <c r="E692">
        <v>6391309</v>
      </c>
      <c r="F692" s="3" t="s">
        <v>28</v>
      </c>
    </row>
    <row r="693" spans="1:6" x14ac:dyDescent="0.25">
      <c r="A693" t="s">
        <v>19</v>
      </c>
      <c r="B693">
        <v>1983</v>
      </c>
      <c r="C693">
        <v>381164080521.66638</v>
      </c>
      <c r="D693">
        <v>86298720250.757294</v>
      </c>
      <c r="E693">
        <v>6418773</v>
      </c>
      <c r="F693" s="3" t="s">
        <v>28</v>
      </c>
    </row>
    <row r="694" spans="1:6" x14ac:dyDescent="0.25">
      <c r="A694" t="s">
        <v>19</v>
      </c>
      <c r="B694">
        <v>1984</v>
      </c>
      <c r="C694">
        <v>392631235669.91138</v>
      </c>
      <c r="D694">
        <v>89981991005.137482</v>
      </c>
      <c r="E694">
        <v>6441865</v>
      </c>
      <c r="F694" s="3" t="s">
        <v>28</v>
      </c>
    </row>
    <row r="695" spans="1:6" x14ac:dyDescent="0.25">
      <c r="A695" t="s">
        <v>19</v>
      </c>
      <c r="B695">
        <v>1985</v>
      </c>
      <c r="C695">
        <v>407054920540.00812</v>
      </c>
      <c r="D695">
        <v>93200599793.426422</v>
      </c>
      <c r="E695">
        <v>6470365</v>
      </c>
      <c r="F695" s="3" t="s">
        <v>28</v>
      </c>
    </row>
    <row r="696" spans="1:6" x14ac:dyDescent="0.25">
      <c r="A696" t="s">
        <v>19</v>
      </c>
      <c r="B696">
        <v>1986</v>
      </c>
      <c r="C696">
        <v>414620576468.82623</v>
      </c>
      <c r="D696">
        <v>99646328549.265228</v>
      </c>
      <c r="E696">
        <v>6504124</v>
      </c>
      <c r="F696" s="3" t="s">
        <v>28</v>
      </c>
    </row>
    <row r="697" spans="1:6" x14ac:dyDescent="0.25">
      <c r="A697" t="s">
        <v>19</v>
      </c>
      <c r="B697">
        <v>1987</v>
      </c>
      <c r="C697">
        <v>421194296070.30566</v>
      </c>
      <c r="D697">
        <v>103725456942.31136</v>
      </c>
      <c r="E697">
        <v>6545106</v>
      </c>
      <c r="F697" s="3" t="s">
        <v>28</v>
      </c>
    </row>
    <row r="698" spans="1:6" x14ac:dyDescent="0.25">
      <c r="A698" t="s">
        <v>19</v>
      </c>
      <c r="B698">
        <v>1988</v>
      </c>
      <c r="C698">
        <v>434999343626.19495</v>
      </c>
      <c r="D698">
        <v>112339655658.31398</v>
      </c>
      <c r="E698">
        <v>6593386</v>
      </c>
      <c r="F698" s="3" t="s">
        <v>28</v>
      </c>
    </row>
    <row r="699" spans="1:6" x14ac:dyDescent="0.25">
      <c r="A699" t="s">
        <v>19</v>
      </c>
      <c r="B699">
        <v>1989</v>
      </c>
      <c r="C699">
        <v>453838270018.91272</v>
      </c>
      <c r="D699">
        <v>117589268107.13025</v>
      </c>
      <c r="E699">
        <v>6646912</v>
      </c>
      <c r="F699" s="3" t="s">
        <v>28</v>
      </c>
    </row>
    <row r="700" spans="1:6" x14ac:dyDescent="0.25">
      <c r="A700" t="s">
        <v>19</v>
      </c>
      <c r="B700">
        <v>1990</v>
      </c>
      <c r="C700">
        <v>470515127240.6557</v>
      </c>
      <c r="D700">
        <v>123057355285.12276</v>
      </c>
      <c r="E700">
        <v>6715519</v>
      </c>
      <c r="F700" s="3" t="s">
        <v>28</v>
      </c>
    </row>
    <row r="701" spans="1:6" x14ac:dyDescent="0.25">
      <c r="A701" t="s">
        <v>19</v>
      </c>
      <c r="B701">
        <v>1991</v>
      </c>
      <c r="C701">
        <v>466206071277.77728</v>
      </c>
      <c r="D701">
        <v>120770809468.02638</v>
      </c>
      <c r="E701">
        <v>6799978</v>
      </c>
      <c r="F701" s="4">
        <v>1718.1</v>
      </c>
    </row>
    <row r="702" spans="1:6" x14ac:dyDescent="0.25">
      <c r="A702" t="s">
        <v>19</v>
      </c>
      <c r="B702">
        <v>1992</v>
      </c>
      <c r="C702">
        <v>466002185360.3241</v>
      </c>
      <c r="D702">
        <v>111043157104.47424</v>
      </c>
      <c r="E702">
        <v>6875364</v>
      </c>
      <c r="F702" s="4">
        <v>1725.4</v>
      </c>
    </row>
    <row r="703" spans="1:6" x14ac:dyDescent="0.25">
      <c r="A703" t="s">
        <v>19</v>
      </c>
      <c r="B703">
        <v>1993</v>
      </c>
      <c r="C703">
        <v>465415099988.27972</v>
      </c>
      <c r="D703">
        <v>107178446836.54688</v>
      </c>
      <c r="E703">
        <v>6938265</v>
      </c>
      <c r="F703" s="4">
        <v>1720.4</v>
      </c>
    </row>
    <row r="704" spans="1:6" x14ac:dyDescent="0.25">
      <c r="A704" t="s">
        <v>19</v>
      </c>
      <c r="B704">
        <v>1994</v>
      </c>
      <c r="C704">
        <v>471324743945.93372</v>
      </c>
      <c r="D704">
        <v>111408378238.52185</v>
      </c>
      <c r="E704">
        <v>6993795</v>
      </c>
      <c r="F704" s="4">
        <v>1739.7</v>
      </c>
    </row>
    <row r="705" spans="1:6" x14ac:dyDescent="0.25">
      <c r="A705" t="s">
        <v>19</v>
      </c>
      <c r="B705">
        <v>1995</v>
      </c>
      <c r="C705">
        <v>473591186505.1665</v>
      </c>
      <c r="D705">
        <v>116764253139.67818</v>
      </c>
      <c r="E705">
        <v>7040687</v>
      </c>
      <c r="F705" s="4">
        <v>1720.3</v>
      </c>
    </row>
    <row r="706" spans="1:6" x14ac:dyDescent="0.25">
      <c r="A706" t="s">
        <v>19</v>
      </c>
      <c r="B706">
        <v>1996</v>
      </c>
      <c r="C706">
        <v>475823127148.12787</v>
      </c>
      <c r="D706">
        <v>115302471869.54776</v>
      </c>
      <c r="E706">
        <v>7071850</v>
      </c>
      <c r="F706" s="4">
        <v>1696.9</v>
      </c>
    </row>
    <row r="707" spans="1:6" x14ac:dyDescent="0.25">
      <c r="A707" t="s">
        <v>19</v>
      </c>
      <c r="B707">
        <v>1997</v>
      </c>
      <c r="C707">
        <v>486583035615.46375</v>
      </c>
      <c r="D707">
        <v>120116166675.54158</v>
      </c>
      <c r="E707">
        <v>7088906</v>
      </c>
      <c r="F707" s="4">
        <v>1687.5</v>
      </c>
    </row>
    <row r="708" spans="1:6" x14ac:dyDescent="0.25">
      <c r="A708" t="s">
        <v>19</v>
      </c>
      <c r="B708">
        <v>1998</v>
      </c>
      <c r="C708">
        <v>501326351582.97369</v>
      </c>
      <c r="D708">
        <v>129915711539.48488</v>
      </c>
      <c r="E708">
        <v>7110001</v>
      </c>
      <c r="F708" s="4">
        <v>1695.5</v>
      </c>
    </row>
    <row r="709" spans="1:6" x14ac:dyDescent="0.25">
      <c r="A709" t="s">
        <v>19</v>
      </c>
      <c r="B709">
        <v>1999</v>
      </c>
      <c r="C709">
        <v>509661911268.6908</v>
      </c>
      <c r="D709">
        <v>133693762811.05272</v>
      </c>
      <c r="E709">
        <v>7143991</v>
      </c>
      <c r="F709" s="4">
        <v>1717.4</v>
      </c>
    </row>
    <row r="710" spans="1:6" x14ac:dyDescent="0.25">
      <c r="A710" t="s">
        <v>19</v>
      </c>
      <c r="B710">
        <v>2000</v>
      </c>
      <c r="C710">
        <v>529837997852.02496</v>
      </c>
      <c r="D710">
        <v>140080862000.4628</v>
      </c>
      <c r="E710">
        <v>7184250</v>
      </c>
      <c r="F710" s="4">
        <v>1712.7</v>
      </c>
    </row>
    <row r="711" spans="1:6" x14ac:dyDescent="0.25">
      <c r="A711" t="s">
        <v>19</v>
      </c>
      <c r="B711">
        <v>2001</v>
      </c>
      <c r="C711">
        <v>538186453673.23315</v>
      </c>
      <c r="D711">
        <v>138089586874.65182</v>
      </c>
      <c r="E711">
        <v>7229854</v>
      </c>
      <c r="F711" s="4">
        <v>1672.8</v>
      </c>
    </row>
    <row r="712" spans="1:6" x14ac:dyDescent="0.25">
      <c r="A712" t="s">
        <v>19</v>
      </c>
      <c r="B712">
        <v>2002</v>
      </c>
      <c r="C712">
        <v>537792409245.14105</v>
      </c>
      <c r="D712">
        <v>139541642270.30023</v>
      </c>
      <c r="E712">
        <v>7284753</v>
      </c>
      <c r="F712" s="4">
        <v>1651.3</v>
      </c>
    </row>
    <row r="713" spans="1:6" x14ac:dyDescent="0.25">
      <c r="A713" t="s">
        <v>19</v>
      </c>
      <c r="B713">
        <v>2003</v>
      </c>
      <c r="C713">
        <v>537618172697.6098</v>
      </c>
      <c r="D713">
        <v>138870939315.85025</v>
      </c>
      <c r="E713">
        <v>7339001</v>
      </c>
      <c r="F713" s="4">
        <v>1664.5</v>
      </c>
    </row>
    <row r="714" spans="1:6" x14ac:dyDescent="0.25">
      <c r="A714" t="s">
        <v>19</v>
      </c>
      <c r="B714">
        <v>2004</v>
      </c>
      <c r="C714">
        <v>552143052382.24219</v>
      </c>
      <c r="D714">
        <v>146540047999.93582</v>
      </c>
      <c r="E714">
        <v>7389625</v>
      </c>
      <c r="F714" s="4">
        <v>1695</v>
      </c>
    </row>
    <row r="715" spans="1:6" x14ac:dyDescent="0.25">
      <c r="A715" t="s">
        <v>19</v>
      </c>
      <c r="B715">
        <v>2005</v>
      </c>
      <c r="C715">
        <v>567325324289.26111</v>
      </c>
      <c r="D715">
        <v>151373612268.73361</v>
      </c>
      <c r="E715">
        <v>7437115</v>
      </c>
      <c r="F715" s="4">
        <v>1690</v>
      </c>
    </row>
    <row r="716" spans="1:6" x14ac:dyDescent="0.25">
      <c r="A716" t="s">
        <v>19</v>
      </c>
      <c r="B716">
        <v>2006</v>
      </c>
      <c r="C716">
        <v>590436050103.2384</v>
      </c>
      <c r="D716">
        <v>158345087924.76343</v>
      </c>
      <c r="E716">
        <v>7483934</v>
      </c>
      <c r="F716" s="4">
        <v>1679.2</v>
      </c>
    </row>
    <row r="717" spans="1:6" x14ac:dyDescent="0.25">
      <c r="A717" t="s">
        <v>19</v>
      </c>
      <c r="B717">
        <v>2007</v>
      </c>
      <c r="C717">
        <v>613559744788.94751</v>
      </c>
      <c r="D717">
        <v>166289968792.15845</v>
      </c>
      <c r="E717">
        <v>7551117</v>
      </c>
      <c r="F717" s="4">
        <v>1668.9</v>
      </c>
    </row>
    <row r="718" spans="1:6" x14ac:dyDescent="0.25">
      <c r="A718" t="s">
        <v>19</v>
      </c>
      <c r="B718">
        <v>2008</v>
      </c>
      <c r="C718">
        <v>630788401993.24121</v>
      </c>
      <c r="D718">
        <v>167015886866.0769</v>
      </c>
      <c r="E718">
        <v>7647675</v>
      </c>
      <c r="F718" s="4">
        <v>1659.5</v>
      </c>
    </row>
    <row r="719" spans="1:6" x14ac:dyDescent="0.25">
      <c r="A719" t="s">
        <v>19</v>
      </c>
      <c r="B719">
        <v>2009</v>
      </c>
      <c r="C719">
        <v>616296829272.35303</v>
      </c>
      <c r="D719">
        <v>155261162755.35638</v>
      </c>
      <c r="E719">
        <v>7743831</v>
      </c>
      <c r="F719" s="4">
        <v>1650.8</v>
      </c>
    </row>
    <row r="720" spans="1:6" x14ac:dyDescent="0.25">
      <c r="A720" t="s">
        <v>19</v>
      </c>
      <c r="B720">
        <v>2010</v>
      </c>
      <c r="C720">
        <v>636285784211.75415</v>
      </c>
      <c r="D720">
        <v>160858161411.97998</v>
      </c>
      <c r="E720">
        <v>7824909</v>
      </c>
      <c r="F720" s="4">
        <v>1611</v>
      </c>
    </row>
    <row r="721" spans="1:6" x14ac:dyDescent="0.25">
      <c r="A721" t="s">
        <v>19</v>
      </c>
      <c r="B721">
        <v>2011</v>
      </c>
      <c r="C721">
        <v>647822333890.06396</v>
      </c>
      <c r="D721">
        <v>165409939249.44461</v>
      </c>
      <c r="E721">
        <v>7912398</v>
      </c>
      <c r="F721" s="4">
        <v>1608</v>
      </c>
    </row>
    <row r="722" spans="1:6" x14ac:dyDescent="0.25">
      <c r="A722" t="s">
        <v>19</v>
      </c>
      <c r="B722">
        <v>2012</v>
      </c>
      <c r="C722">
        <v>655461803595.11914</v>
      </c>
      <c r="D722">
        <v>173285833948.81238</v>
      </c>
      <c r="E722">
        <v>7996861</v>
      </c>
      <c r="F722" s="4">
        <v>1593</v>
      </c>
    </row>
    <row r="723" spans="1:6" x14ac:dyDescent="0.25">
      <c r="A723" t="s">
        <v>19</v>
      </c>
      <c r="B723">
        <v>2013</v>
      </c>
      <c r="C723">
        <v>667208623354.64478</v>
      </c>
      <c r="D723">
        <v>175223584553.20853</v>
      </c>
      <c r="E723">
        <v>8089346</v>
      </c>
      <c r="F723" s="4">
        <v>1573</v>
      </c>
    </row>
    <row r="724" spans="1:6" x14ac:dyDescent="0.25">
      <c r="A724" t="s">
        <v>19</v>
      </c>
      <c r="B724">
        <v>2014</v>
      </c>
      <c r="C724">
        <v>682887233860.61646</v>
      </c>
      <c r="D724">
        <v>179528624436.50647</v>
      </c>
      <c r="E724">
        <v>8188649</v>
      </c>
      <c r="F724" s="4">
        <v>1564</v>
      </c>
    </row>
    <row r="725" spans="1:6" x14ac:dyDescent="0.25">
      <c r="A725" t="s">
        <v>19</v>
      </c>
      <c r="B725">
        <v>2015</v>
      </c>
      <c r="C725">
        <v>694118186379.62781</v>
      </c>
      <c r="D725">
        <v>183324970950.80984</v>
      </c>
      <c r="E725">
        <v>8282396</v>
      </c>
      <c r="F725" s="4">
        <v>1577</v>
      </c>
    </row>
    <row r="726" spans="1:6" x14ac:dyDescent="0.25">
      <c r="A726" t="s">
        <v>19</v>
      </c>
      <c r="B726">
        <v>2016</v>
      </c>
      <c r="C726">
        <v>708477337578.72241</v>
      </c>
      <c r="D726">
        <v>188162178266.18176</v>
      </c>
      <c r="E726">
        <v>8373338</v>
      </c>
      <c r="F726" s="4">
        <v>1577</v>
      </c>
    </row>
    <row r="727" spans="1:6" x14ac:dyDescent="0.25">
      <c r="A727" t="s">
        <v>19</v>
      </c>
      <c r="B727">
        <v>2017</v>
      </c>
      <c r="C727">
        <v>718132463597.49939</v>
      </c>
      <c r="D727">
        <v>194818930442.87305</v>
      </c>
      <c r="E727">
        <v>8451840</v>
      </c>
      <c r="F727" s="4">
        <v>1559</v>
      </c>
    </row>
    <row r="728" spans="1:6" x14ac:dyDescent="0.25">
      <c r="A728" t="s">
        <v>19</v>
      </c>
      <c r="B728">
        <v>2018</v>
      </c>
      <c r="C728">
        <v>738674253452.24866</v>
      </c>
      <c r="D728">
        <v>196354447557.55389</v>
      </c>
      <c r="E728">
        <v>8514329</v>
      </c>
      <c r="F728" s="4">
        <v>1551</v>
      </c>
    </row>
    <row r="729" spans="1:6" x14ac:dyDescent="0.25">
      <c r="A729" t="s">
        <v>19</v>
      </c>
      <c r="B729">
        <v>2019</v>
      </c>
      <c r="C729">
        <v>747109782866.38879</v>
      </c>
      <c r="D729">
        <v>198118193331.30014</v>
      </c>
      <c r="E729">
        <v>8575280</v>
      </c>
      <c r="F729" s="4">
        <v>1549</v>
      </c>
    </row>
    <row r="730" spans="1:6" x14ac:dyDescent="0.25">
      <c r="A730" t="s">
        <v>19</v>
      </c>
      <c r="B730">
        <v>2020</v>
      </c>
      <c r="C730">
        <v>731108654673.33398</v>
      </c>
      <c r="D730">
        <v>195459606838.03806</v>
      </c>
      <c r="E730">
        <v>8638167</v>
      </c>
      <c r="F730" s="4">
        <v>1498.8</v>
      </c>
    </row>
    <row r="731" spans="1:6" x14ac:dyDescent="0.25">
      <c r="A731" t="s">
        <v>19</v>
      </c>
      <c r="B731">
        <v>2021</v>
      </c>
      <c r="C731">
        <v>770529214794.41357</v>
      </c>
      <c r="D731">
        <v>200917155573.83005</v>
      </c>
      <c r="E731">
        <v>8704546</v>
      </c>
      <c r="F731" s="4">
        <v>1531.2</v>
      </c>
    </row>
    <row r="732" spans="1:6" x14ac:dyDescent="0.25">
      <c r="A732" t="s">
        <v>19</v>
      </c>
      <c r="B732">
        <v>2022</v>
      </c>
      <c r="C732">
        <v>790318933740.32581</v>
      </c>
      <c r="D732">
        <v>203178311247.44693</v>
      </c>
      <c r="E732">
        <v>8777088</v>
      </c>
      <c r="F732" s="4">
        <v>1528.7</v>
      </c>
    </row>
    <row r="733" spans="1:6" x14ac:dyDescent="0.25">
      <c r="A733" t="s">
        <v>20</v>
      </c>
      <c r="B733">
        <v>1980</v>
      </c>
      <c r="C733">
        <v>1324862633557.1267</v>
      </c>
      <c r="D733">
        <v>200939918208.1575</v>
      </c>
      <c r="E733">
        <v>56314216</v>
      </c>
      <c r="F733" s="4">
        <v>1619</v>
      </c>
    </row>
    <row r="734" spans="1:6" x14ac:dyDescent="0.25">
      <c r="A734" t="s">
        <v>20</v>
      </c>
      <c r="B734">
        <v>1981</v>
      </c>
      <c r="C734">
        <v>1314426110473.7312</v>
      </c>
      <c r="D734">
        <v>183394698861.82825</v>
      </c>
      <c r="E734">
        <v>56333829</v>
      </c>
      <c r="F734" s="4">
        <v>1567</v>
      </c>
    </row>
    <row r="735" spans="1:6" x14ac:dyDescent="0.25">
      <c r="A735" t="s">
        <v>20</v>
      </c>
      <c r="B735">
        <v>1982</v>
      </c>
      <c r="C735">
        <v>1340647481719.041</v>
      </c>
      <c r="D735">
        <v>194419416367.75424</v>
      </c>
      <c r="E735">
        <v>56313641</v>
      </c>
      <c r="F735" s="4">
        <v>1581</v>
      </c>
    </row>
    <row r="736" spans="1:6" x14ac:dyDescent="0.25">
      <c r="A736" t="s">
        <v>20</v>
      </c>
      <c r="B736">
        <v>1983</v>
      </c>
      <c r="C736">
        <v>1397247692388.1018</v>
      </c>
      <c r="D736">
        <v>204229646835.59424</v>
      </c>
      <c r="E736">
        <v>56332848</v>
      </c>
      <c r="F736" s="4">
        <v>1568</v>
      </c>
    </row>
    <row r="737" spans="1:6" x14ac:dyDescent="0.25">
      <c r="A737" t="s">
        <v>20</v>
      </c>
      <c r="B737">
        <v>1984</v>
      </c>
      <c r="C737">
        <v>1428952711623.5554</v>
      </c>
      <c r="D737">
        <v>222803052949.17258</v>
      </c>
      <c r="E737">
        <v>56422072</v>
      </c>
      <c r="F737" s="4">
        <v>1583</v>
      </c>
    </row>
    <row r="738" spans="1:6" x14ac:dyDescent="0.25">
      <c r="A738" t="s">
        <v>20</v>
      </c>
      <c r="B738">
        <v>1985</v>
      </c>
      <c r="C738">
        <v>1488217310110.0173</v>
      </c>
      <c r="D738">
        <v>232092114130.87387</v>
      </c>
      <c r="E738">
        <v>56550268</v>
      </c>
      <c r="F738" s="4">
        <v>1613</v>
      </c>
    </row>
    <row r="739" spans="1:6" x14ac:dyDescent="0.25">
      <c r="A739" t="s">
        <v>20</v>
      </c>
      <c r="B739">
        <v>1986</v>
      </c>
      <c r="C739">
        <v>1535101224196.6272</v>
      </c>
      <c r="D739">
        <v>237185886996.65405</v>
      </c>
      <c r="E739">
        <v>56681396</v>
      </c>
      <c r="F739" s="4">
        <v>1615</v>
      </c>
    </row>
    <row r="740" spans="1:6" x14ac:dyDescent="0.25">
      <c r="A740" t="s">
        <v>20</v>
      </c>
      <c r="B740">
        <v>1987</v>
      </c>
      <c r="C740">
        <v>1617885216667.9534</v>
      </c>
      <c r="D740">
        <v>259666877964.65005</v>
      </c>
      <c r="E740">
        <v>56802050</v>
      </c>
      <c r="F740" s="4">
        <v>1605</v>
      </c>
    </row>
    <row r="741" spans="1:6" x14ac:dyDescent="0.25">
      <c r="A741" t="s">
        <v>20</v>
      </c>
      <c r="B741">
        <v>1988</v>
      </c>
      <c r="C741">
        <v>1710629088490.4336</v>
      </c>
      <c r="D741">
        <v>298214477500.72961</v>
      </c>
      <c r="E741">
        <v>56928327</v>
      </c>
      <c r="F741" s="4">
        <v>1642</v>
      </c>
    </row>
    <row r="742" spans="1:6" x14ac:dyDescent="0.25">
      <c r="A742" t="s">
        <v>20</v>
      </c>
      <c r="B742">
        <v>1989</v>
      </c>
      <c r="C742">
        <v>1754722311847.6812</v>
      </c>
      <c r="D742">
        <v>316398776962.138</v>
      </c>
      <c r="E742">
        <v>57076711</v>
      </c>
      <c r="F742" s="4">
        <v>1631</v>
      </c>
    </row>
    <row r="743" spans="1:6" x14ac:dyDescent="0.25">
      <c r="A743" t="s">
        <v>20</v>
      </c>
      <c r="B743">
        <v>1990</v>
      </c>
      <c r="C743">
        <v>1767597683034.6587</v>
      </c>
      <c r="D743">
        <v>309404271389.39435</v>
      </c>
      <c r="E743">
        <v>57247586</v>
      </c>
      <c r="F743" s="4">
        <v>1617</v>
      </c>
    </row>
    <row r="744" spans="1:6" x14ac:dyDescent="0.25">
      <c r="A744" t="s">
        <v>20</v>
      </c>
      <c r="B744">
        <v>1991</v>
      </c>
      <c r="C744">
        <v>1748098930983.3333</v>
      </c>
      <c r="D744">
        <v>289823057535.58551</v>
      </c>
      <c r="E744">
        <v>57424897</v>
      </c>
      <c r="F744" s="4">
        <v>1615</v>
      </c>
    </row>
    <row r="745" spans="1:6" x14ac:dyDescent="0.25">
      <c r="A745" t="s">
        <v>20</v>
      </c>
      <c r="B745">
        <v>1992</v>
      </c>
      <c r="C745">
        <v>1755110242111.0061</v>
      </c>
      <c r="D745">
        <v>292428963549.61011</v>
      </c>
      <c r="E745">
        <v>57580402</v>
      </c>
      <c r="F745" s="4">
        <v>1583</v>
      </c>
    </row>
    <row r="746" spans="1:6" x14ac:dyDescent="0.25">
      <c r="A746" t="s">
        <v>20</v>
      </c>
      <c r="B746">
        <v>1993</v>
      </c>
      <c r="C746">
        <v>1798809520344.042</v>
      </c>
      <c r="D746">
        <v>296988768935.284</v>
      </c>
      <c r="E746">
        <v>57718614</v>
      </c>
      <c r="F746" s="4">
        <v>1577</v>
      </c>
    </row>
    <row r="747" spans="1:6" x14ac:dyDescent="0.25">
      <c r="A747" t="s">
        <v>20</v>
      </c>
      <c r="B747">
        <v>1994</v>
      </c>
      <c r="C747">
        <v>1867991898738.7817</v>
      </c>
      <c r="D747">
        <v>315985500866.42407</v>
      </c>
      <c r="E747">
        <v>57865745</v>
      </c>
      <c r="F747" s="4">
        <v>1586</v>
      </c>
    </row>
    <row r="748" spans="1:6" x14ac:dyDescent="0.25">
      <c r="A748" t="s">
        <v>20</v>
      </c>
      <c r="B748">
        <v>1995</v>
      </c>
      <c r="C748">
        <v>1915283289476.8774</v>
      </c>
      <c r="D748">
        <v>330962596141.76556</v>
      </c>
      <c r="E748">
        <v>58019030</v>
      </c>
      <c r="F748" s="4">
        <v>1586</v>
      </c>
    </row>
    <row r="749" spans="1:6" x14ac:dyDescent="0.25">
      <c r="A749" t="s">
        <v>20</v>
      </c>
      <c r="B749">
        <v>1996</v>
      </c>
      <c r="C749">
        <v>1964735787495.5691</v>
      </c>
      <c r="D749">
        <v>346406590983.04541</v>
      </c>
      <c r="E749">
        <v>58166950</v>
      </c>
      <c r="F749" s="4">
        <v>1586</v>
      </c>
    </row>
    <row r="750" spans="1:6" x14ac:dyDescent="0.25">
      <c r="A750" t="s">
        <v>20</v>
      </c>
      <c r="B750">
        <v>1997</v>
      </c>
      <c r="C750">
        <v>2061492115418.5598</v>
      </c>
      <c r="D750">
        <v>341298525756.68658</v>
      </c>
      <c r="E750">
        <v>58316954</v>
      </c>
      <c r="F750" s="4">
        <v>1586</v>
      </c>
    </row>
    <row r="751" spans="1:6" x14ac:dyDescent="0.25">
      <c r="A751" t="s">
        <v>20</v>
      </c>
      <c r="B751">
        <v>1998</v>
      </c>
      <c r="C751">
        <v>2131637646138.5269</v>
      </c>
      <c r="D751">
        <v>360943165302.57684</v>
      </c>
      <c r="E751">
        <v>58487141</v>
      </c>
      <c r="F751" s="4">
        <v>1582</v>
      </c>
    </row>
    <row r="752" spans="1:6" x14ac:dyDescent="0.25">
      <c r="A752" t="s">
        <v>20</v>
      </c>
      <c r="B752">
        <v>1999</v>
      </c>
      <c r="C752">
        <v>2196830016070.8086</v>
      </c>
      <c r="D752">
        <v>367162566598.64246</v>
      </c>
      <c r="E752">
        <v>58682466</v>
      </c>
      <c r="F752" s="4">
        <v>1572</v>
      </c>
    </row>
    <row r="753" spans="1:6" x14ac:dyDescent="0.25">
      <c r="A753" t="s">
        <v>20</v>
      </c>
      <c r="B753">
        <v>2000</v>
      </c>
      <c r="C753">
        <v>2292208338906.25</v>
      </c>
      <c r="D753">
        <v>388184905676.53802</v>
      </c>
      <c r="E753">
        <v>58892514</v>
      </c>
      <c r="F753" s="4">
        <v>1558</v>
      </c>
    </row>
    <row r="754" spans="1:6" x14ac:dyDescent="0.25">
      <c r="A754" t="s">
        <v>20</v>
      </c>
      <c r="B754">
        <v>2001</v>
      </c>
      <c r="C754">
        <v>2351181825459.1133</v>
      </c>
      <c r="D754">
        <v>395896707472.5578</v>
      </c>
      <c r="E754">
        <v>59119673</v>
      </c>
      <c r="F754" s="4">
        <v>1562</v>
      </c>
    </row>
    <row r="755" spans="1:6" x14ac:dyDescent="0.25">
      <c r="A755" t="s">
        <v>20</v>
      </c>
      <c r="B755">
        <v>2002</v>
      </c>
      <c r="C755">
        <v>2393401075136.1782</v>
      </c>
      <c r="D755">
        <v>403923301756.84955</v>
      </c>
      <c r="E755">
        <v>59370479</v>
      </c>
      <c r="F755" s="4">
        <v>1543</v>
      </c>
    </row>
    <row r="756" spans="1:6" x14ac:dyDescent="0.25">
      <c r="A756" t="s">
        <v>20</v>
      </c>
      <c r="B756">
        <v>2003</v>
      </c>
      <c r="C756">
        <v>2468849371075.25</v>
      </c>
      <c r="D756">
        <v>413953359577.61072</v>
      </c>
      <c r="E756">
        <v>59647577</v>
      </c>
      <c r="F756" s="4">
        <v>1534</v>
      </c>
    </row>
    <row r="757" spans="1:6" x14ac:dyDescent="0.25">
      <c r="A757" t="s">
        <v>20</v>
      </c>
      <c r="B757">
        <v>2004</v>
      </c>
      <c r="C757">
        <v>2529531328675.5728</v>
      </c>
      <c r="D757">
        <v>425157201382.4187</v>
      </c>
      <c r="E757">
        <v>59987905</v>
      </c>
      <c r="F757" s="4">
        <v>1534</v>
      </c>
    </row>
    <row r="758" spans="1:6" x14ac:dyDescent="0.25">
      <c r="A758" t="s">
        <v>20</v>
      </c>
      <c r="B758">
        <v>2005</v>
      </c>
      <c r="C758">
        <v>2598654838739.1724</v>
      </c>
      <c r="D758">
        <v>442835338918.24036</v>
      </c>
      <c r="E758">
        <v>60401206</v>
      </c>
      <c r="F758" s="4">
        <v>1544</v>
      </c>
    </row>
    <row r="759" spans="1:6" x14ac:dyDescent="0.25">
      <c r="A759" t="s">
        <v>20</v>
      </c>
      <c r="B759">
        <v>2006</v>
      </c>
      <c r="C759">
        <v>2660520859212.0483</v>
      </c>
      <c r="D759">
        <v>455379920256.43066</v>
      </c>
      <c r="E759">
        <v>60846820</v>
      </c>
      <c r="F759" s="4">
        <v>1536</v>
      </c>
    </row>
    <row r="760" spans="1:6" x14ac:dyDescent="0.25">
      <c r="A760" t="s">
        <v>20</v>
      </c>
      <c r="B760">
        <v>2007</v>
      </c>
      <c r="C760">
        <v>2730356339665.7891</v>
      </c>
      <c r="D760">
        <v>475417096315.4743</v>
      </c>
      <c r="E760">
        <v>61322463</v>
      </c>
      <c r="F760" s="4">
        <v>1541</v>
      </c>
    </row>
    <row r="761" spans="1:6" x14ac:dyDescent="0.25">
      <c r="A761" t="s">
        <v>20</v>
      </c>
      <c r="B761">
        <v>2008</v>
      </c>
      <c r="C761">
        <v>2723563286863.3179</v>
      </c>
      <c r="D761">
        <v>459941238142.04822</v>
      </c>
      <c r="E761">
        <v>61806995</v>
      </c>
      <c r="F761" s="4">
        <v>1525</v>
      </c>
    </row>
    <row r="762" spans="1:6" x14ac:dyDescent="0.25">
      <c r="A762" t="s">
        <v>20</v>
      </c>
      <c r="B762">
        <v>2009</v>
      </c>
      <c r="C762">
        <v>2597719582107.3501</v>
      </c>
      <c r="D762">
        <v>403402045387.3808</v>
      </c>
      <c r="E762">
        <v>62276270</v>
      </c>
      <c r="F762" s="4">
        <v>1516</v>
      </c>
    </row>
    <row r="763" spans="1:6" x14ac:dyDescent="0.25">
      <c r="A763" t="s">
        <v>20</v>
      </c>
      <c r="B763">
        <v>2010</v>
      </c>
      <c r="C763">
        <v>2655734846473.6914</v>
      </c>
      <c r="D763">
        <v>422413274401.31409</v>
      </c>
      <c r="E763">
        <v>62766365</v>
      </c>
      <c r="F763" s="4">
        <v>1507</v>
      </c>
    </row>
    <row r="764" spans="1:6" x14ac:dyDescent="0.25">
      <c r="A764" t="s">
        <v>20</v>
      </c>
      <c r="B764">
        <v>2011</v>
      </c>
      <c r="C764">
        <v>2685966732014.0283</v>
      </c>
      <c r="D764">
        <v>422860612301.31458</v>
      </c>
      <c r="E764">
        <v>63258810</v>
      </c>
      <c r="F764" s="4">
        <v>1515</v>
      </c>
    </row>
    <row r="765" spans="1:6" x14ac:dyDescent="0.25">
      <c r="A765" t="s">
        <v>20</v>
      </c>
      <c r="B765">
        <v>2012</v>
      </c>
      <c r="C765">
        <v>2726497926337.3174</v>
      </c>
      <c r="D765">
        <v>429732539684.1806</v>
      </c>
      <c r="E765">
        <v>63700215</v>
      </c>
      <c r="F765" s="4">
        <v>1531</v>
      </c>
    </row>
    <row r="766" spans="1:6" x14ac:dyDescent="0.25">
      <c r="A766" t="s">
        <v>20</v>
      </c>
      <c r="B766">
        <v>2013</v>
      </c>
      <c r="C766">
        <v>2775572748536.7471</v>
      </c>
      <c r="D766">
        <v>443566883196.54126</v>
      </c>
      <c r="E766">
        <v>64128273</v>
      </c>
      <c r="F766" s="4">
        <v>1533</v>
      </c>
    </row>
    <row r="767" spans="1:6" x14ac:dyDescent="0.25">
      <c r="A767" t="s">
        <v>20</v>
      </c>
      <c r="B767">
        <v>2014</v>
      </c>
      <c r="C767">
        <v>2864242231205.4688</v>
      </c>
      <c r="D767">
        <v>474777313422.64362</v>
      </c>
      <c r="E767">
        <v>64602298</v>
      </c>
      <c r="F767" s="4">
        <v>1542</v>
      </c>
    </row>
    <row r="768" spans="1:6" x14ac:dyDescent="0.25">
      <c r="A768" t="s">
        <v>20</v>
      </c>
      <c r="B768">
        <v>2015</v>
      </c>
      <c r="C768">
        <v>2927911140916.7314</v>
      </c>
      <c r="D768">
        <v>508708731047.37189</v>
      </c>
      <c r="E768">
        <v>65116219</v>
      </c>
      <c r="F768" s="4">
        <v>1525</v>
      </c>
    </row>
    <row r="769" spans="1:6" x14ac:dyDescent="0.25">
      <c r="A769" t="s">
        <v>20</v>
      </c>
      <c r="B769">
        <v>2016</v>
      </c>
      <c r="C769">
        <v>2984177104376.0229</v>
      </c>
      <c r="D769">
        <v>534865898961.74036</v>
      </c>
      <c r="E769">
        <v>65611593</v>
      </c>
      <c r="F769" s="4">
        <v>1541</v>
      </c>
    </row>
    <row r="770" spans="1:6" x14ac:dyDescent="0.25">
      <c r="A770" t="s">
        <v>20</v>
      </c>
      <c r="B770">
        <v>2017</v>
      </c>
      <c r="C770">
        <v>3063451915172.5337</v>
      </c>
      <c r="D770">
        <v>553599293958.24695</v>
      </c>
      <c r="E770">
        <v>66058859</v>
      </c>
      <c r="F770" s="4">
        <v>1536</v>
      </c>
    </row>
    <row r="771" spans="1:6" x14ac:dyDescent="0.25">
      <c r="A771" t="s">
        <v>20</v>
      </c>
      <c r="B771">
        <v>2018</v>
      </c>
      <c r="C771">
        <v>3106499243290.9697</v>
      </c>
      <c r="D771">
        <v>551073299885.68958</v>
      </c>
      <c r="E771">
        <v>66460344</v>
      </c>
      <c r="F771" s="4">
        <v>1536</v>
      </c>
    </row>
    <row r="772" spans="1:6" x14ac:dyDescent="0.25">
      <c r="A772" t="s">
        <v>20</v>
      </c>
      <c r="B772">
        <v>2019</v>
      </c>
      <c r="C772">
        <v>3156963551827.5205</v>
      </c>
      <c r="D772">
        <v>562831535558.73181</v>
      </c>
      <c r="E772">
        <v>66836327</v>
      </c>
      <c r="F772" s="4">
        <v>1537</v>
      </c>
    </row>
    <row r="773" spans="1:6" x14ac:dyDescent="0.25">
      <c r="A773" t="s">
        <v>20</v>
      </c>
      <c r="B773">
        <v>2020</v>
      </c>
      <c r="C773">
        <v>2831893576021.7729</v>
      </c>
      <c r="D773">
        <v>508356978560.47693</v>
      </c>
      <c r="E773">
        <v>67081234</v>
      </c>
      <c r="F773" s="4">
        <v>1364</v>
      </c>
    </row>
    <row r="774" spans="1:6" x14ac:dyDescent="0.25">
      <c r="A774" t="s">
        <v>20</v>
      </c>
      <c r="B774">
        <v>2021</v>
      </c>
      <c r="C774">
        <v>3074755378779.1851</v>
      </c>
      <c r="D774">
        <v>546899418791.19312</v>
      </c>
      <c r="E774">
        <v>67026292</v>
      </c>
      <c r="F774" s="4">
        <v>1498</v>
      </c>
    </row>
    <row r="775" spans="1:6" x14ac:dyDescent="0.25">
      <c r="A775" t="s">
        <v>20</v>
      </c>
      <c r="B775">
        <v>2022</v>
      </c>
      <c r="C775">
        <v>3223545409624.7012</v>
      </c>
      <c r="D775">
        <v>574900741220.18848</v>
      </c>
      <c r="E775">
        <v>67791000</v>
      </c>
      <c r="F775" s="4">
        <v>1531</v>
      </c>
    </row>
    <row r="776" spans="1:6" x14ac:dyDescent="0.25">
      <c r="A776" t="s">
        <v>21</v>
      </c>
      <c r="B776">
        <v>1980</v>
      </c>
      <c r="C776">
        <v>7062521475999.999</v>
      </c>
      <c r="D776">
        <v>1218057861999.9995</v>
      </c>
      <c r="E776">
        <v>227225000</v>
      </c>
      <c r="F776" s="4">
        <v>1859</v>
      </c>
    </row>
    <row r="777" spans="1:6" x14ac:dyDescent="0.25">
      <c r="A777" t="s">
        <v>21</v>
      </c>
      <c r="B777">
        <v>1981</v>
      </c>
      <c r="C777">
        <v>7241747172999.999</v>
      </c>
      <c r="D777">
        <v>1241295577999.9993</v>
      </c>
      <c r="E777">
        <v>229466000</v>
      </c>
      <c r="F777" s="4">
        <v>1854</v>
      </c>
    </row>
    <row r="778" spans="1:6" x14ac:dyDescent="0.25">
      <c r="A778" t="s">
        <v>21</v>
      </c>
      <c r="B778">
        <v>1982</v>
      </c>
      <c r="C778">
        <v>7111177472999.999</v>
      </c>
      <c r="D778">
        <v>1179656251999.9993</v>
      </c>
      <c r="E778">
        <v>231664000</v>
      </c>
      <c r="F778" s="4">
        <v>1846</v>
      </c>
    </row>
    <row r="779" spans="1:6" x14ac:dyDescent="0.25">
      <c r="A779" t="s">
        <v>21</v>
      </c>
      <c r="B779">
        <v>1983</v>
      </c>
      <c r="C779">
        <v>7437138984999.999</v>
      </c>
      <c r="D779">
        <v>1265291536999.999</v>
      </c>
      <c r="E779">
        <v>233792000</v>
      </c>
      <c r="F779" s="4">
        <v>1867</v>
      </c>
    </row>
    <row r="780" spans="1:6" x14ac:dyDescent="0.25">
      <c r="A780" t="s">
        <v>21</v>
      </c>
      <c r="B780">
        <v>1984</v>
      </c>
      <c r="C780">
        <v>7975324063999.999</v>
      </c>
      <c r="D780">
        <v>1455201120999.9988</v>
      </c>
      <c r="E780">
        <v>235825000</v>
      </c>
      <c r="F780" s="4">
        <v>1883</v>
      </c>
    </row>
    <row r="781" spans="1:6" x14ac:dyDescent="0.25">
      <c r="A781" t="s">
        <v>21</v>
      </c>
      <c r="B781">
        <v>1985</v>
      </c>
      <c r="C781">
        <v>8307861209999.999</v>
      </c>
      <c r="D781">
        <v>1557132741999.9988</v>
      </c>
      <c r="E781">
        <v>237924000</v>
      </c>
      <c r="F781" s="4">
        <v>1882</v>
      </c>
    </row>
    <row r="782" spans="1:6" x14ac:dyDescent="0.25">
      <c r="A782" t="s">
        <v>21</v>
      </c>
      <c r="B782">
        <v>1986</v>
      </c>
      <c r="C782">
        <v>8595533785999.999</v>
      </c>
      <c r="D782">
        <v>1606118255999.999</v>
      </c>
      <c r="E782">
        <v>240133000</v>
      </c>
      <c r="F782" s="4">
        <v>1875</v>
      </c>
    </row>
    <row r="783" spans="1:6" x14ac:dyDescent="0.25">
      <c r="A783" t="s">
        <v>21</v>
      </c>
      <c r="B783">
        <v>1987</v>
      </c>
      <c r="C783">
        <v>8892477646000</v>
      </c>
      <c r="D783">
        <v>1634515969999.9988</v>
      </c>
      <c r="E783">
        <v>242289000</v>
      </c>
      <c r="F783" s="4">
        <v>1883</v>
      </c>
    </row>
    <row r="784" spans="1:6" x14ac:dyDescent="0.25">
      <c r="A784" t="s">
        <v>21</v>
      </c>
      <c r="B784">
        <v>1988</v>
      </c>
      <c r="C784">
        <v>9263914872000</v>
      </c>
      <c r="D784">
        <v>1672307044999.9988</v>
      </c>
      <c r="E784">
        <v>244499000</v>
      </c>
      <c r="F784" s="4">
        <v>1883</v>
      </c>
    </row>
    <row r="785" spans="1:6" x14ac:dyDescent="0.25">
      <c r="A785" t="s">
        <v>21</v>
      </c>
      <c r="B785">
        <v>1989</v>
      </c>
      <c r="C785">
        <v>9604107859000</v>
      </c>
      <c r="D785">
        <v>1721314222999.9988</v>
      </c>
      <c r="E785">
        <v>246819000</v>
      </c>
      <c r="F785" s="4">
        <v>1895</v>
      </c>
    </row>
    <row r="786" spans="1:6" x14ac:dyDescent="0.25">
      <c r="A786" t="s">
        <v>21</v>
      </c>
      <c r="B786">
        <v>1990</v>
      </c>
      <c r="C786">
        <v>9785238028000</v>
      </c>
      <c r="D786">
        <v>1719509208999.9988</v>
      </c>
      <c r="E786">
        <v>249623000</v>
      </c>
      <c r="F786" s="4">
        <v>1878</v>
      </c>
    </row>
    <row r="787" spans="1:6" x14ac:dyDescent="0.25">
      <c r="A787" t="s">
        <v>21</v>
      </c>
      <c r="B787">
        <v>1991</v>
      </c>
      <c r="C787">
        <v>9774639354000</v>
      </c>
      <c r="D787">
        <v>1648888138999.9988</v>
      </c>
      <c r="E787">
        <v>252981000</v>
      </c>
      <c r="F787" s="4">
        <v>1868</v>
      </c>
    </row>
    <row r="788" spans="1:6" x14ac:dyDescent="0.25">
      <c r="A788" t="s">
        <v>21</v>
      </c>
      <c r="B788">
        <v>1992</v>
      </c>
      <c r="C788">
        <v>10118950750000</v>
      </c>
      <c r="D788">
        <v>1716491987999.9988</v>
      </c>
      <c r="E788">
        <v>256514000</v>
      </c>
      <c r="F788" s="4">
        <v>1867</v>
      </c>
    </row>
    <row r="789" spans="1:6" x14ac:dyDescent="0.25">
      <c r="A789" t="s">
        <v>21</v>
      </c>
      <c r="B789">
        <v>1993</v>
      </c>
      <c r="C789">
        <v>10397403618000</v>
      </c>
      <c r="D789">
        <v>1803948042999.999</v>
      </c>
      <c r="E789">
        <v>259919000</v>
      </c>
      <c r="F789" s="4">
        <v>1875</v>
      </c>
    </row>
    <row r="790" spans="1:6" x14ac:dyDescent="0.25">
      <c r="A790" t="s">
        <v>21</v>
      </c>
      <c r="B790">
        <v>1994</v>
      </c>
      <c r="C790">
        <v>10816317373000</v>
      </c>
      <c r="D790">
        <v>1914075591999.999</v>
      </c>
      <c r="E790">
        <v>263126000</v>
      </c>
      <c r="F790" s="4">
        <v>1887</v>
      </c>
    </row>
    <row r="791" spans="1:6" x14ac:dyDescent="0.25">
      <c r="A791" t="s">
        <v>21</v>
      </c>
      <c r="B791">
        <v>1995</v>
      </c>
      <c r="C791">
        <v>11106673920999.998</v>
      </c>
      <c r="D791">
        <v>2012760550999.999</v>
      </c>
      <c r="E791">
        <v>266278000</v>
      </c>
      <c r="F791" s="4">
        <v>1886</v>
      </c>
    </row>
    <row r="792" spans="1:6" x14ac:dyDescent="0.25">
      <c r="A792" t="s">
        <v>21</v>
      </c>
      <c r="B792">
        <v>1996</v>
      </c>
      <c r="C792">
        <v>11525703480999.998</v>
      </c>
      <c r="D792">
        <v>2166820951999.999</v>
      </c>
      <c r="E792">
        <v>269394000</v>
      </c>
      <c r="F792" s="4">
        <v>1887</v>
      </c>
    </row>
    <row r="793" spans="1:6" x14ac:dyDescent="0.25">
      <c r="A793" t="s">
        <v>21</v>
      </c>
      <c r="B793">
        <v>1997</v>
      </c>
      <c r="C793">
        <v>12038266260999.998</v>
      </c>
      <c r="D793">
        <v>2322423443999.999</v>
      </c>
      <c r="E793">
        <v>272657000</v>
      </c>
      <c r="F793" s="4">
        <v>1893</v>
      </c>
    </row>
    <row r="794" spans="1:6" x14ac:dyDescent="0.25">
      <c r="A794" t="s">
        <v>21</v>
      </c>
      <c r="B794">
        <v>1998</v>
      </c>
      <c r="C794">
        <v>12577957789999.998</v>
      </c>
      <c r="D794">
        <v>2538263986999.999</v>
      </c>
      <c r="E794">
        <v>275854000</v>
      </c>
      <c r="F794" s="4">
        <v>1892</v>
      </c>
    </row>
    <row r="795" spans="1:6" x14ac:dyDescent="0.25">
      <c r="A795" t="s">
        <v>21</v>
      </c>
      <c r="B795">
        <v>1999</v>
      </c>
      <c r="C795">
        <v>13180243871999.998</v>
      </c>
      <c r="D795">
        <v>2749560973999.999</v>
      </c>
      <c r="E795">
        <v>279040000</v>
      </c>
      <c r="F795" s="4">
        <v>1888</v>
      </c>
    </row>
    <row r="796" spans="1:6" x14ac:dyDescent="0.25">
      <c r="A796" t="s">
        <v>21</v>
      </c>
      <c r="B796">
        <v>2000</v>
      </c>
      <c r="C796">
        <v>13717679618999.996</v>
      </c>
      <c r="D796">
        <v>2925464708999.999</v>
      </c>
      <c r="E796">
        <v>282162411</v>
      </c>
      <c r="F796" s="4">
        <v>1880</v>
      </c>
    </row>
    <row r="797" spans="1:6" x14ac:dyDescent="0.25">
      <c r="A797" t="s">
        <v>21</v>
      </c>
      <c r="B797">
        <v>2001</v>
      </c>
      <c r="C797">
        <v>13848757307999.998</v>
      </c>
      <c r="D797">
        <v>2913086622999.999</v>
      </c>
      <c r="E797">
        <v>284968955</v>
      </c>
      <c r="F797" s="4">
        <v>1860</v>
      </c>
    </row>
    <row r="798" spans="1:6" x14ac:dyDescent="0.25">
      <c r="A798" t="s">
        <v>21</v>
      </c>
      <c r="B798">
        <v>2002</v>
      </c>
      <c r="C798">
        <v>14084248130999.998</v>
      </c>
      <c r="D798">
        <v>2863689490999.999</v>
      </c>
      <c r="E798">
        <v>287625193</v>
      </c>
      <c r="F798" s="4">
        <v>1853</v>
      </c>
    </row>
    <row r="799" spans="1:6" x14ac:dyDescent="0.25">
      <c r="A799" t="s">
        <v>21</v>
      </c>
      <c r="B799">
        <v>2003</v>
      </c>
      <c r="C799">
        <v>14477988211999.998</v>
      </c>
      <c r="D799">
        <v>2985022309999.999</v>
      </c>
      <c r="E799">
        <v>290107933</v>
      </c>
      <c r="F799" s="4">
        <v>1843</v>
      </c>
    </row>
    <row r="800" spans="1:6" x14ac:dyDescent="0.25">
      <c r="A800" t="s">
        <v>21</v>
      </c>
      <c r="B800">
        <v>2004</v>
      </c>
      <c r="C800">
        <v>15035068143999.998</v>
      </c>
      <c r="D800">
        <v>3163909784999.999</v>
      </c>
      <c r="E800">
        <v>292805298</v>
      </c>
      <c r="F800" s="4">
        <v>1845</v>
      </c>
    </row>
    <row r="801" spans="1:6" x14ac:dyDescent="0.25">
      <c r="A801" t="s">
        <v>21</v>
      </c>
      <c r="B801">
        <v>2005</v>
      </c>
      <c r="C801">
        <v>15558822250999.998</v>
      </c>
      <c r="D801">
        <v>3355622413999.999</v>
      </c>
      <c r="E801">
        <v>295516599</v>
      </c>
      <c r="F801" s="4">
        <v>1842</v>
      </c>
    </row>
    <row r="802" spans="1:6" x14ac:dyDescent="0.25">
      <c r="A802" t="s">
        <v>21</v>
      </c>
      <c r="B802">
        <v>2006</v>
      </c>
      <c r="C802">
        <v>15992063823999.998</v>
      </c>
      <c r="D802">
        <v>3445363047999.9995</v>
      </c>
      <c r="E802">
        <v>298379912</v>
      </c>
      <c r="F802" s="4">
        <v>1846</v>
      </c>
    </row>
    <row r="803" spans="1:6" x14ac:dyDescent="0.25">
      <c r="A803" t="s">
        <v>21</v>
      </c>
      <c r="B803">
        <v>2007</v>
      </c>
      <c r="C803">
        <v>16312522121999.998</v>
      </c>
      <c r="D803">
        <v>3425417292999.9995</v>
      </c>
      <c r="E803">
        <v>301231207</v>
      </c>
      <c r="F803" s="4">
        <v>1842</v>
      </c>
    </row>
    <row r="804" spans="1:6" x14ac:dyDescent="0.25">
      <c r="A804" t="s">
        <v>21</v>
      </c>
      <c r="B804">
        <v>2008</v>
      </c>
      <c r="C804">
        <v>16331051066999.998</v>
      </c>
      <c r="D804">
        <v>3281354879999.9995</v>
      </c>
      <c r="E804">
        <v>304093966</v>
      </c>
      <c r="F804" s="4">
        <v>1829</v>
      </c>
    </row>
    <row r="805" spans="1:6" x14ac:dyDescent="0.25">
      <c r="A805" t="s">
        <v>21</v>
      </c>
      <c r="B805">
        <v>2009</v>
      </c>
      <c r="C805">
        <v>15910281497999.998</v>
      </c>
      <c r="D805">
        <v>2870462480999.9995</v>
      </c>
      <c r="E805">
        <v>306771529</v>
      </c>
      <c r="F805" s="4">
        <v>1799</v>
      </c>
    </row>
    <row r="806" spans="1:6" x14ac:dyDescent="0.25">
      <c r="A806" t="s">
        <v>21</v>
      </c>
      <c r="B806">
        <v>2010</v>
      </c>
      <c r="C806">
        <v>16339094224999.998</v>
      </c>
      <c r="D806">
        <v>2935253933999.999</v>
      </c>
      <c r="E806">
        <v>309327143</v>
      </c>
      <c r="F806" s="4">
        <v>1810</v>
      </c>
    </row>
    <row r="807" spans="1:6" x14ac:dyDescent="0.25">
      <c r="A807" t="s">
        <v>21</v>
      </c>
      <c r="B807">
        <v>2011</v>
      </c>
      <c r="C807">
        <v>16594704134999.998</v>
      </c>
      <c r="D807">
        <v>3071066258999.999</v>
      </c>
      <c r="E807">
        <v>311583481</v>
      </c>
      <c r="F807" s="4">
        <v>1819</v>
      </c>
    </row>
    <row r="808" spans="1:6" x14ac:dyDescent="0.25">
      <c r="A808" t="s">
        <v>21</v>
      </c>
      <c r="B808">
        <v>2012</v>
      </c>
      <c r="C808">
        <v>16974575728999.998</v>
      </c>
      <c r="D808">
        <v>3283305634999.9995</v>
      </c>
      <c r="E808">
        <v>313877662</v>
      </c>
      <c r="F808" s="4">
        <v>1826</v>
      </c>
    </row>
    <row r="809" spans="1:6" x14ac:dyDescent="0.25">
      <c r="A809" t="s">
        <v>21</v>
      </c>
      <c r="B809">
        <v>2013</v>
      </c>
      <c r="C809">
        <v>17334068403000</v>
      </c>
      <c r="D809">
        <v>3417211518000</v>
      </c>
      <c r="E809">
        <v>316059947</v>
      </c>
      <c r="F809" s="4">
        <v>1824</v>
      </c>
    </row>
    <row r="810" spans="1:6" x14ac:dyDescent="0.25">
      <c r="A810" t="s">
        <v>21</v>
      </c>
      <c r="B810">
        <v>2014</v>
      </c>
      <c r="C810">
        <v>17771549056000</v>
      </c>
      <c r="D810">
        <v>3618540059000</v>
      </c>
      <c r="E810">
        <v>318386329</v>
      </c>
      <c r="F810" s="4">
        <v>1829</v>
      </c>
    </row>
    <row r="811" spans="1:6" x14ac:dyDescent="0.25">
      <c r="A811" t="s">
        <v>21</v>
      </c>
      <c r="B811">
        <v>2015</v>
      </c>
      <c r="C811">
        <v>18295019000000</v>
      </c>
      <c r="D811">
        <v>3777790000000</v>
      </c>
      <c r="E811">
        <v>320738994</v>
      </c>
      <c r="F811" s="4">
        <v>1830</v>
      </c>
    </row>
    <row r="812" spans="1:6" x14ac:dyDescent="0.25">
      <c r="A812" t="s">
        <v>21</v>
      </c>
      <c r="B812">
        <v>2016</v>
      </c>
      <c r="C812">
        <v>18627887993000</v>
      </c>
      <c r="D812">
        <v>3792096083462.4102</v>
      </c>
      <c r="E812">
        <v>323071755</v>
      </c>
      <c r="F812" s="4">
        <v>1822</v>
      </c>
    </row>
    <row r="813" spans="1:6" x14ac:dyDescent="0.25">
      <c r="A813" t="s">
        <v>21</v>
      </c>
      <c r="B813">
        <v>2017</v>
      </c>
      <c r="C813">
        <v>19085691122935.199</v>
      </c>
      <c r="D813">
        <v>3952143427600.1104</v>
      </c>
      <c r="E813">
        <v>325122128</v>
      </c>
      <c r="F813" s="4">
        <v>1820</v>
      </c>
    </row>
    <row r="814" spans="1:6" x14ac:dyDescent="0.25">
      <c r="A814" t="s">
        <v>21</v>
      </c>
      <c r="B814">
        <v>2018</v>
      </c>
      <c r="C814">
        <v>19651869117582.5</v>
      </c>
      <c r="D814">
        <v>4171824059917.0605</v>
      </c>
      <c r="E814">
        <v>326838199</v>
      </c>
      <c r="F814" s="4">
        <v>1826</v>
      </c>
    </row>
    <row r="815" spans="1:6" x14ac:dyDescent="0.25">
      <c r="A815" t="s">
        <v>21</v>
      </c>
      <c r="B815">
        <v>2019</v>
      </c>
      <c r="C815">
        <v>20159639089698.098</v>
      </c>
      <c r="D815">
        <v>4308413389711.0195</v>
      </c>
      <c r="E815">
        <v>328329953</v>
      </c>
      <c r="F815" s="4">
        <v>1817</v>
      </c>
    </row>
    <row r="816" spans="1:6" x14ac:dyDescent="0.25">
      <c r="A816" t="s">
        <v>21</v>
      </c>
      <c r="B816">
        <v>2020</v>
      </c>
      <c r="C816">
        <v>19723580221938.199</v>
      </c>
      <c r="D816">
        <v>4178476545894.9199</v>
      </c>
      <c r="E816">
        <v>331526933</v>
      </c>
      <c r="F816" s="4">
        <v>1789</v>
      </c>
    </row>
    <row r="817" spans="1:6" x14ac:dyDescent="0.25">
      <c r="A817" t="s">
        <v>21</v>
      </c>
      <c r="B817">
        <v>2021</v>
      </c>
      <c r="C817">
        <v>20917853444668.301</v>
      </c>
      <c r="D817">
        <v>4459693626039.4199</v>
      </c>
      <c r="E817">
        <v>332048977</v>
      </c>
      <c r="F817" s="4">
        <v>1813</v>
      </c>
    </row>
    <row r="818" spans="1:6" x14ac:dyDescent="0.25">
      <c r="A818" t="s">
        <v>21</v>
      </c>
      <c r="B818">
        <v>2022</v>
      </c>
      <c r="C818">
        <v>21443388432051</v>
      </c>
      <c r="D818">
        <v>4675491736471.2305</v>
      </c>
      <c r="E818">
        <v>333271411</v>
      </c>
      <c r="F818" s="4">
        <v>1804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1FDB-42E2-426F-864D-648B53681091}">
  <dimension ref="A1:L826"/>
  <sheetViews>
    <sheetView topLeftCell="A771" workbookViewId="0">
      <selection activeCell="K747" sqref="K747:K789"/>
    </sheetView>
  </sheetViews>
  <sheetFormatPr defaultRowHeight="15" x14ac:dyDescent="0.25"/>
  <cols>
    <col min="7" max="7" width="12" bestFit="1" customWidth="1"/>
    <col min="9" max="9" width="12" bestFit="1" customWidth="1"/>
    <col min="12" max="12" width="12" bestFit="1" customWidth="1"/>
  </cols>
  <sheetData>
    <row r="1" spans="1:12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25</v>
      </c>
      <c r="F1" s="1" t="s">
        <v>27</v>
      </c>
      <c r="G1" s="1" t="s">
        <v>30</v>
      </c>
      <c r="H1" s="1" t="s">
        <v>35</v>
      </c>
      <c r="I1" s="1" t="s">
        <v>37</v>
      </c>
      <c r="J1" s="1" t="s">
        <v>34</v>
      </c>
      <c r="K1" s="8" t="s">
        <v>42</v>
      </c>
    </row>
    <row r="2" spans="1:12" x14ac:dyDescent="0.25">
      <c r="A2" t="s">
        <v>3</v>
      </c>
      <c r="B2">
        <v>1995</v>
      </c>
      <c r="C2">
        <v>267089385643.72025</v>
      </c>
      <c r="D2">
        <v>68988476363.535507</v>
      </c>
      <c r="E2">
        <v>7948278</v>
      </c>
      <c r="F2" s="4">
        <v>1653</v>
      </c>
      <c r="G2">
        <f>E2*F2</f>
        <v>13138503534</v>
      </c>
      <c r="H2">
        <f>C2/G2</f>
        <v>20.328752430026956</v>
      </c>
      <c r="I2">
        <f>D2</f>
        <v>68988476363.535507</v>
      </c>
      <c r="J2" s="6">
        <v>0.12</v>
      </c>
      <c r="K2" s="5">
        <f>D2/C2</f>
        <v>0.25829733441957747</v>
      </c>
      <c r="L2" s="7"/>
    </row>
    <row r="3" spans="1:12" x14ac:dyDescent="0.25">
      <c r="A3" t="s">
        <v>3</v>
      </c>
      <c r="B3">
        <v>1996</v>
      </c>
      <c r="C3">
        <v>273007465269.5921</v>
      </c>
      <c r="D3">
        <v>71295172524.864014</v>
      </c>
      <c r="E3">
        <v>7959017</v>
      </c>
      <c r="F3" s="4">
        <v>1683</v>
      </c>
      <c r="G3">
        <f t="shared" ref="G3:G66" si="0">E3*F3</f>
        <v>13395025611</v>
      </c>
      <c r="H3">
        <f t="shared" ref="H3:H66" si="1">C3/G3</f>
        <v>20.381257430773278</v>
      </c>
      <c r="I3">
        <f>I2-(I2*J2)+D3</f>
        <v>132005031724.77527</v>
      </c>
      <c r="J3" s="6">
        <v>0.12</v>
      </c>
      <c r="K3" s="5">
        <f t="shared" ref="K3:K66" si="2">D3/C3</f>
        <v>0.26114733695820647</v>
      </c>
      <c r="L3" s="7"/>
    </row>
    <row r="4" spans="1:12" x14ac:dyDescent="0.25">
      <c r="A4" t="s">
        <v>3</v>
      </c>
      <c r="B4">
        <v>1997</v>
      </c>
      <c r="C4">
        <v>278865754355.30109</v>
      </c>
      <c r="D4">
        <v>71641106439.519089</v>
      </c>
      <c r="E4">
        <v>7968041</v>
      </c>
      <c r="F4" s="4">
        <v>1691</v>
      </c>
      <c r="G4">
        <f t="shared" si="0"/>
        <v>13473957331</v>
      </c>
      <c r="H4">
        <f t="shared" si="1"/>
        <v>20.696648171336047</v>
      </c>
      <c r="I4">
        <f t="shared" ref="I4:I29" si="3">I3-(I3*J3)+D4</f>
        <v>187805534357.32132</v>
      </c>
      <c r="J4" s="6">
        <v>0.12</v>
      </c>
      <c r="K4" s="5">
        <f t="shared" si="2"/>
        <v>0.2569017719839547</v>
      </c>
      <c r="L4" s="7"/>
    </row>
    <row r="5" spans="1:12" x14ac:dyDescent="0.25">
      <c r="A5" t="s">
        <v>3</v>
      </c>
      <c r="B5">
        <v>1998</v>
      </c>
      <c r="C5">
        <v>288606201307.48468</v>
      </c>
      <c r="D5">
        <v>74041098211.281586</v>
      </c>
      <c r="E5">
        <v>7976789</v>
      </c>
      <c r="F5" s="4">
        <v>1671</v>
      </c>
      <c r="G5">
        <f t="shared" si="0"/>
        <v>13329214419</v>
      </c>
      <c r="H5">
        <f t="shared" si="1"/>
        <v>21.65215385057455</v>
      </c>
      <c r="I5">
        <f t="shared" si="3"/>
        <v>239309968445.72433</v>
      </c>
      <c r="J5" s="6">
        <v>0.12</v>
      </c>
      <c r="K5" s="5">
        <f t="shared" si="2"/>
        <v>0.25654714928456185</v>
      </c>
      <c r="L5" s="7"/>
    </row>
    <row r="6" spans="1:12" x14ac:dyDescent="0.25">
      <c r="A6" t="s">
        <v>3</v>
      </c>
      <c r="B6">
        <v>1999</v>
      </c>
      <c r="C6">
        <v>299463348574.79871</v>
      </c>
      <c r="D6">
        <v>75085403919.811676</v>
      </c>
      <c r="E6">
        <v>7992324</v>
      </c>
      <c r="F6" s="4">
        <v>1675</v>
      </c>
      <c r="G6">
        <f t="shared" si="0"/>
        <v>13387142700</v>
      </c>
      <c r="H6">
        <f t="shared" si="1"/>
        <v>22.369474598548852</v>
      </c>
      <c r="I6">
        <f t="shared" si="3"/>
        <v>285678176152.04907</v>
      </c>
      <c r="J6" s="6">
        <v>0.12</v>
      </c>
      <c r="K6" s="5">
        <f t="shared" si="2"/>
        <v>0.25073320083127687</v>
      </c>
      <c r="L6" s="7"/>
    </row>
    <row r="7" spans="1:12" x14ac:dyDescent="0.25">
      <c r="A7" t="s">
        <v>3</v>
      </c>
      <c r="B7">
        <v>2000</v>
      </c>
      <c r="C7">
        <v>309014799991.68036</v>
      </c>
      <c r="D7">
        <v>79212568860.845657</v>
      </c>
      <c r="E7">
        <v>8011566</v>
      </c>
      <c r="F7" s="4">
        <v>1675</v>
      </c>
      <c r="G7">
        <f t="shared" si="0"/>
        <v>13419373050</v>
      </c>
      <c r="H7">
        <f t="shared" si="1"/>
        <v>23.027513941247825</v>
      </c>
      <c r="I7">
        <f t="shared" si="3"/>
        <v>330609363874.64886</v>
      </c>
      <c r="J7" s="6">
        <v>0.12</v>
      </c>
      <c r="K7" s="5">
        <f t="shared" si="2"/>
        <v>0.25633907781432574</v>
      </c>
      <c r="L7" s="7"/>
    </row>
    <row r="8" spans="1:12" x14ac:dyDescent="0.25">
      <c r="A8" t="s">
        <v>3</v>
      </c>
      <c r="B8">
        <v>2001</v>
      </c>
      <c r="C8">
        <v>313084486617.41547</v>
      </c>
      <c r="D8">
        <v>78414771397.815964</v>
      </c>
      <c r="E8">
        <v>8042293</v>
      </c>
      <c r="F8" s="4">
        <v>1663</v>
      </c>
      <c r="G8">
        <f t="shared" si="0"/>
        <v>13374333259</v>
      </c>
      <c r="H8">
        <f t="shared" si="1"/>
        <v>23.409352866748051</v>
      </c>
      <c r="I8">
        <f t="shared" si="3"/>
        <v>369351011607.50696</v>
      </c>
      <c r="J8" s="6">
        <v>0.12</v>
      </c>
      <c r="K8" s="5">
        <f t="shared" si="2"/>
        <v>0.25045882101989181</v>
      </c>
      <c r="L8" s="7"/>
    </row>
    <row r="9" spans="1:12" x14ac:dyDescent="0.25">
      <c r="A9" t="s">
        <v>3</v>
      </c>
      <c r="B9">
        <v>2002</v>
      </c>
      <c r="C9">
        <v>317731815610.85803</v>
      </c>
      <c r="D9">
        <v>75925035566.38237</v>
      </c>
      <c r="E9">
        <v>8081957</v>
      </c>
      <c r="F9" s="4">
        <v>1661</v>
      </c>
      <c r="G9">
        <f t="shared" si="0"/>
        <v>13424130577</v>
      </c>
      <c r="H9">
        <f t="shared" si="1"/>
        <v>23.668707167914345</v>
      </c>
      <c r="I9">
        <f t="shared" si="3"/>
        <v>400953925780.98853</v>
      </c>
      <c r="J9" s="6">
        <v>0.12</v>
      </c>
      <c r="K9" s="5">
        <f t="shared" si="2"/>
        <v>0.23895949928845509</v>
      </c>
      <c r="L9" s="7"/>
    </row>
    <row r="10" spans="1:12" x14ac:dyDescent="0.25">
      <c r="A10" t="s">
        <v>3</v>
      </c>
      <c r="B10">
        <v>2003</v>
      </c>
      <c r="C10">
        <v>321358930858.67755</v>
      </c>
      <c r="D10">
        <v>78905329208.251129</v>
      </c>
      <c r="E10">
        <v>8121423</v>
      </c>
      <c r="F10" s="4">
        <v>1652</v>
      </c>
      <c r="G10">
        <f t="shared" si="0"/>
        <v>13416590796</v>
      </c>
      <c r="H10">
        <f t="shared" si="1"/>
        <v>23.952353898613868</v>
      </c>
      <c r="I10">
        <f t="shared" si="3"/>
        <v>431744783895.521</v>
      </c>
      <c r="J10" s="6">
        <v>0.12</v>
      </c>
      <c r="K10" s="5">
        <f t="shared" si="2"/>
        <v>0.24553644424137988</v>
      </c>
      <c r="L10" s="7"/>
    </row>
    <row r="11" spans="1:12" x14ac:dyDescent="0.25">
      <c r="A11" t="s">
        <v>3</v>
      </c>
      <c r="B11">
        <v>2004</v>
      </c>
      <c r="C11">
        <v>329602607197.96979</v>
      </c>
      <c r="D11">
        <v>79811284206.88472</v>
      </c>
      <c r="E11">
        <v>8171966</v>
      </c>
      <c r="F11" s="4">
        <v>1655</v>
      </c>
      <c r="G11">
        <f t="shared" si="0"/>
        <v>13524603730</v>
      </c>
      <c r="H11">
        <f t="shared" si="1"/>
        <v>24.370592571732953</v>
      </c>
      <c r="I11">
        <f t="shared" si="3"/>
        <v>459746694034.94318</v>
      </c>
      <c r="J11" s="6">
        <v>0.12</v>
      </c>
      <c r="K11" s="5">
        <f t="shared" si="2"/>
        <v>0.24214397114567582</v>
      </c>
      <c r="L11" s="7"/>
    </row>
    <row r="12" spans="1:12" x14ac:dyDescent="0.25">
      <c r="A12" t="s">
        <v>3</v>
      </c>
      <c r="B12">
        <v>2005</v>
      </c>
      <c r="C12">
        <v>337250591613.84985</v>
      </c>
      <c r="D12">
        <v>80122566924.452698</v>
      </c>
      <c r="E12">
        <v>8227829</v>
      </c>
      <c r="F12" s="4">
        <v>1632</v>
      </c>
      <c r="G12">
        <f t="shared" si="0"/>
        <v>13427816928</v>
      </c>
      <c r="H12">
        <f t="shared" si="1"/>
        <v>25.115816921111502</v>
      </c>
      <c r="I12">
        <f t="shared" si="3"/>
        <v>484699657675.2027</v>
      </c>
      <c r="J12" s="6">
        <v>0.12</v>
      </c>
      <c r="K12" s="5">
        <f t="shared" si="2"/>
        <v>0.23757576388833326</v>
      </c>
      <c r="L12" s="7"/>
    </row>
    <row r="13" spans="1:12" x14ac:dyDescent="0.25">
      <c r="A13" t="s">
        <v>3</v>
      </c>
      <c r="B13">
        <v>2006</v>
      </c>
      <c r="C13">
        <v>348276446973.2608</v>
      </c>
      <c r="D13">
        <v>81191066671.07576</v>
      </c>
      <c r="E13">
        <v>8268641</v>
      </c>
      <c r="F13" s="4">
        <v>1617</v>
      </c>
      <c r="G13">
        <f t="shared" si="0"/>
        <v>13370392497</v>
      </c>
      <c r="H13">
        <f t="shared" si="1"/>
        <v>26.048333813042944</v>
      </c>
      <c r="I13">
        <f t="shared" si="3"/>
        <v>507726765425.25409</v>
      </c>
      <c r="J13" s="6">
        <v>0.12</v>
      </c>
      <c r="K13" s="5">
        <f t="shared" si="2"/>
        <v>0.23312247318667881</v>
      </c>
      <c r="L13" s="7"/>
    </row>
    <row r="14" spans="1:12" x14ac:dyDescent="0.25">
      <c r="A14" t="s">
        <v>3</v>
      </c>
      <c r="B14">
        <v>2007</v>
      </c>
      <c r="C14">
        <v>361424665131.86475</v>
      </c>
      <c r="D14">
        <v>84847724918.633957</v>
      </c>
      <c r="E14">
        <v>8295487</v>
      </c>
      <c r="F14" s="4">
        <v>1606</v>
      </c>
      <c r="G14">
        <f t="shared" si="0"/>
        <v>13322552122</v>
      </c>
      <c r="H14">
        <f t="shared" si="1"/>
        <v>27.128785972999232</v>
      </c>
      <c r="I14">
        <f t="shared" si="3"/>
        <v>531647278492.8576</v>
      </c>
      <c r="J14" s="6">
        <v>0.12</v>
      </c>
      <c r="K14" s="5">
        <f t="shared" si="2"/>
        <v>0.23475908841937368</v>
      </c>
      <c r="L14" s="7"/>
    </row>
    <row r="15" spans="1:12" x14ac:dyDescent="0.25">
      <c r="A15" t="s">
        <v>3</v>
      </c>
      <c r="B15">
        <v>2008</v>
      </c>
      <c r="C15">
        <v>366677270021.06866</v>
      </c>
      <c r="D15">
        <v>86349984291.795288</v>
      </c>
      <c r="E15">
        <v>8321496</v>
      </c>
      <c r="F15" s="4">
        <v>1599</v>
      </c>
      <c r="G15">
        <f t="shared" si="0"/>
        <v>13306072104</v>
      </c>
      <c r="H15">
        <f t="shared" si="1"/>
        <v>27.55713836172886</v>
      </c>
      <c r="I15">
        <f t="shared" si="3"/>
        <v>554199589365.51001</v>
      </c>
      <c r="J15" s="6">
        <v>0.12</v>
      </c>
      <c r="K15" s="5">
        <f t="shared" si="2"/>
        <v>0.23549314711226513</v>
      </c>
      <c r="L15" s="7"/>
    </row>
    <row r="16" spans="1:12" x14ac:dyDescent="0.25">
      <c r="A16" t="s">
        <v>3</v>
      </c>
      <c r="B16">
        <v>2009</v>
      </c>
      <c r="C16">
        <v>353527252232.55615</v>
      </c>
      <c r="D16">
        <v>80259416463.408173</v>
      </c>
      <c r="E16">
        <v>8343323</v>
      </c>
      <c r="F16" s="4">
        <v>1558</v>
      </c>
      <c r="G16">
        <f t="shared" si="0"/>
        <v>12998897234</v>
      </c>
      <c r="H16">
        <f t="shared" si="1"/>
        <v>27.196711064679238</v>
      </c>
      <c r="I16">
        <f t="shared" si="3"/>
        <v>567955055105.05701</v>
      </c>
      <c r="J16" s="6">
        <v>0.12</v>
      </c>
      <c r="K16" s="5">
        <f t="shared" si="2"/>
        <v>0.22702469457888408</v>
      </c>
      <c r="L16" s="7"/>
    </row>
    <row r="17" spans="1:12" x14ac:dyDescent="0.25">
      <c r="A17" t="s">
        <v>3</v>
      </c>
      <c r="B17">
        <v>2010</v>
      </c>
      <c r="C17">
        <v>359922498957.78619</v>
      </c>
      <c r="D17">
        <v>78274983868.726151</v>
      </c>
      <c r="E17">
        <v>8363404</v>
      </c>
      <c r="F17" s="4">
        <v>1552</v>
      </c>
      <c r="G17">
        <f t="shared" si="0"/>
        <v>12980003008</v>
      </c>
      <c r="H17">
        <f t="shared" si="1"/>
        <v>27.728999657084376</v>
      </c>
      <c r="I17">
        <f t="shared" si="3"/>
        <v>578075432361.17639</v>
      </c>
      <c r="J17" s="6">
        <v>0.12</v>
      </c>
      <c r="K17" s="5">
        <f t="shared" si="2"/>
        <v>0.21747732941225967</v>
      </c>
      <c r="L17" s="7"/>
    </row>
    <row r="18" spans="1:12" x14ac:dyDescent="0.25">
      <c r="A18" t="s">
        <v>3</v>
      </c>
      <c r="B18">
        <v>2011</v>
      </c>
      <c r="C18">
        <v>370459114608.07605</v>
      </c>
      <c r="D18">
        <v>83320835468.813644</v>
      </c>
      <c r="E18">
        <v>8391643</v>
      </c>
      <c r="F18" s="4">
        <v>1557</v>
      </c>
      <c r="G18">
        <f t="shared" si="0"/>
        <v>13065788151</v>
      </c>
      <c r="H18">
        <f t="shared" si="1"/>
        <v>28.353369144418792</v>
      </c>
      <c r="I18">
        <f t="shared" si="3"/>
        <v>592027215946.6488</v>
      </c>
      <c r="J18" s="6">
        <v>0.12</v>
      </c>
      <c r="K18" s="5">
        <f t="shared" si="2"/>
        <v>0.22491236463965042</v>
      </c>
      <c r="L18" s="7"/>
    </row>
    <row r="19" spans="1:12" x14ac:dyDescent="0.25">
      <c r="A19" t="s">
        <v>3</v>
      </c>
      <c r="B19">
        <v>2012</v>
      </c>
      <c r="C19">
        <v>372786509841.89203</v>
      </c>
      <c r="D19">
        <v>84383540229.608948</v>
      </c>
      <c r="E19">
        <v>8429991</v>
      </c>
      <c r="F19" s="4">
        <v>1535</v>
      </c>
      <c r="G19">
        <f t="shared" si="0"/>
        <v>12940036185</v>
      </c>
      <c r="H19">
        <f t="shared" si="1"/>
        <v>28.808768732348952</v>
      </c>
      <c r="I19">
        <f t="shared" si="3"/>
        <v>605367490262.65991</v>
      </c>
      <c r="J19" s="6">
        <v>0.12</v>
      </c>
      <c r="K19" s="5">
        <f t="shared" si="2"/>
        <v>0.22635888907406573</v>
      </c>
      <c r="L19" s="7"/>
    </row>
    <row r="20" spans="1:12" x14ac:dyDescent="0.25">
      <c r="A20" t="s">
        <v>3</v>
      </c>
      <c r="B20">
        <v>2013</v>
      </c>
      <c r="C20">
        <v>371851835102.08459</v>
      </c>
      <c r="D20">
        <v>85430081606.613632</v>
      </c>
      <c r="E20">
        <v>8479823</v>
      </c>
      <c r="F20" s="4">
        <v>1520</v>
      </c>
      <c r="G20">
        <f t="shared" si="0"/>
        <v>12889330960</v>
      </c>
      <c r="H20">
        <f t="shared" si="1"/>
        <v>28.849583912157112</v>
      </c>
      <c r="I20">
        <f t="shared" si="3"/>
        <v>618153473037.75439</v>
      </c>
      <c r="J20" s="6">
        <v>0.12</v>
      </c>
      <c r="K20" s="5">
        <f t="shared" si="2"/>
        <v>0.22974226168108189</v>
      </c>
      <c r="L20" s="7"/>
    </row>
    <row r="21" spans="1:12" x14ac:dyDescent="0.25">
      <c r="A21" t="s">
        <v>3</v>
      </c>
      <c r="B21">
        <v>2014</v>
      </c>
      <c r="C21">
        <v>374662287839.19513</v>
      </c>
      <c r="D21">
        <v>85152793254.501526</v>
      </c>
      <c r="E21">
        <v>8546356</v>
      </c>
      <c r="F21" s="4">
        <v>1510</v>
      </c>
      <c r="G21">
        <f t="shared" si="0"/>
        <v>12904997560</v>
      </c>
      <c r="H21">
        <f t="shared" si="1"/>
        <v>29.032340850686307</v>
      </c>
      <c r="I21">
        <f t="shared" si="3"/>
        <v>629127849527.72534</v>
      </c>
      <c r="J21" s="6">
        <v>0.12</v>
      </c>
      <c r="K21" s="5">
        <f t="shared" si="2"/>
        <v>0.22727879484643798</v>
      </c>
      <c r="L21" s="7"/>
    </row>
    <row r="22" spans="1:12" x14ac:dyDescent="0.25">
      <c r="A22" t="s">
        <v>3</v>
      </c>
      <c r="B22">
        <v>2015</v>
      </c>
      <c r="C22">
        <v>379546097300.63263</v>
      </c>
      <c r="D22">
        <v>86900730957.521042</v>
      </c>
      <c r="E22">
        <v>8642699</v>
      </c>
      <c r="F22" s="4">
        <v>1495</v>
      </c>
      <c r="G22">
        <f t="shared" si="0"/>
        <v>12920835005</v>
      </c>
      <c r="H22">
        <f t="shared" si="1"/>
        <v>29.374734462111693</v>
      </c>
      <c r="I22">
        <f t="shared" si="3"/>
        <v>640533238541.91931</v>
      </c>
      <c r="J22" s="6">
        <v>0.12</v>
      </c>
      <c r="K22" s="5">
        <f t="shared" si="2"/>
        <v>0.22895962196836478</v>
      </c>
      <c r="L22" s="7"/>
    </row>
    <row r="23" spans="1:12" x14ac:dyDescent="0.25">
      <c r="A23" t="s">
        <v>3</v>
      </c>
      <c r="B23">
        <v>2016</v>
      </c>
      <c r="C23">
        <v>387581921933.04669</v>
      </c>
      <c r="D23">
        <v>90841294692.071045</v>
      </c>
      <c r="E23">
        <v>8736668</v>
      </c>
      <c r="F23" s="4">
        <v>1507</v>
      </c>
      <c r="G23">
        <f t="shared" si="0"/>
        <v>13166158676</v>
      </c>
      <c r="H23">
        <f t="shared" si="1"/>
        <v>29.437737419916743</v>
      </c>
      <c r="I23">
        <f t="shared" si="3"/>
        <v>654510544608.96008</v>
      </c>
      <c r="J23" s="6">
        <v>0.12</v>
      </c>
      <c r="K23" s="5">
        <f t="shared" si="2"/>
        <v>0.23437959706429118</v>
      </c>
      <c r="L23" s="7"/>
    </row>
    <row r="24" spans="1:12" x14ac:dyDescent="0.25">
      <c r="A24" t="s">
        <v>3</v>
      </c>
      <c r="B24">
        <v>2017</v>
      </c>
      <c r="C24">
        <v>396388752620.72052</v>
      </c>
      <c r="D24">
        <v>94629426888.629639</v>
      </c>
      <c r="E24">
        <v>8797566</v>
      </c>
      <c r="F24" s="4">
        <v>1498</v>
      </c>
      <c r="G24">
        <f t="shared" si="0"/>
        <v>13178753868</v>
      </c>
      <c r="H24">
        <f t="shared" si="1"/>
        <v>30.077862944478547</v>
      </c>
      <c r="I24">
        <f t="shared" si="3"/>
        <v>670598706144.51453</v>
      </c>
      <c r="J24" s="6">
        <v>0.12</v>
      </c>
      <c r="K24" s="5">
        <f t="shared" si="2"/>
        <v>0.23872883946123111</v>
      </c>
      <c r="L24" s="7"/>
    </row>
    <row r="25" spans="1:12" x14ac:dyDescent="0.25">
      <c r="A25" t="s">
        <v>3</v>
      </c>
      <c r="B25">
        <v>2018</v>
      </c>
      <c r="C25">
        <v>406235924727.36621</v>
      </c>
      <c r="D25">
        <v>98806173741.719879</v>
      </c>
      <c r="E25">
        <v>8840521</v>
      </c>
      <c r="F25" s="4">
        <v>1502</v>
      </c>
      <c r="G25">
        <f t="shared" si="0"/>
        <v>13278462542</v>
      </c>
      <c r="H25">
        <f t="shared" si="1"/>
        <v>30.593596468147961</v>
      </c>
      <c r="I25">
        <f t="shared" si="3"/>
        <v>688933035148.8927</v>
      </c>
      <c r="J25" s="6">
        <v>0.12</v>
      </c>
      <c r="K25" s="5">
        <f t="shared" si="2"/>
        <v>0.2432236238290123</v>
      </c>
      <c r="L25" s="7"/>
    </row>
    <row r="26" spans="1:12" x14ac:dyDescent="0.25">
      <c r="A26" t="s">
        <v>3</v>
      </c>
      <c r="B26">
        <v>2019</v>
      </c>
      <c r="C26">
        <v>413365269561.54938</v>
      </c>
      <c r="D26">
        <v>103012060841.36949</v>
      </c>
      <c r="E26">
        <v>8879920</v>
      </c>
      <c r="F26" s="4">
        <v>1510</v>
      </c>
      <c r="G26">
        <f t="shared" si="0"/>
        <v>13408679200</v>
      </c>
      <c r="H26">
        <f t="shared" si="1"/>
        <v>30.828186982171172</v>
      </c>
      <c r="I26">
        <f t="shared" si="3"/>
        <v>709273131772.39514</v>
      </c>
      <c r="J26" s="6">
        <v>0.12</v>
      </c>
      <c r="K26" s="5">
        <f t="shared" si="2"/>
        <v>0.24920347311866067</v>
      </c>
      <c r="L26" s="7"/>
    </row>
    <row r="27" spans="1:12" x14ac:dyDescent="0.25">
      <c r="A27" t="s">
        <v>3</v>
      </c>
      <c r="B27">
        <v>2020</v>
      </c>
      <c r="C27">
        <v>387247796564.08649</v>
      </c>
      <c r="D27">
        <v>97526452697.569885</v>
      </c>
      <c r="E27">
        <v>8916864</v>
      </c>
      <c r="F27" s="4">
        <v>1400</v>
      </c>
      <c r="G27">
        <f t="shared" si="0"/>
        <v>12483609600</v>
      </c>
      <c r="H27">
        <f t="shared" si="1"/>
        <v>31.020498795803938</v>
      </c>
      <c r="I27">
        <f t="shared" si="3"/>
        <v>721686808657.27759</v>
      </c>
      <c r="J27" s="6">
        <v>0.12</v>
      </c>
      <c r="K27" s="5">
        <f t="shared" si="2"/>
        <v>0.25184508101243647</v>
      </c>
      <c r="L27" s="7"/>
    </row>
    <row r="28" spans="1:12" x14ac:dyDescent="0.25">
      <c r="A28" t="s">
        <v>3</v>
      </c>
      <c r="B28">
        <v>2021</v>
      </c>
      <c r="C28">
        <v>405817602863.18805</v>
      </c>
      <c r="D28">
        <v>103363231656.86832</v>
      </c>
      <c r="E28">
        <v>8955797</v>
      </c>
      <c r="F28" s="4">
        <v>1437</v>
      </c>
      <c r="G28">
        <f t="shared" si="0"/>
        <v>12869480289</v>
      </c>
      <c r="H28">
        <f t="shared" si="1"/>
        <v>31.533332640483913</v>
      </c>
      <c r="I28">
        <f t="shared" si="3"/>
        <v>738447623275.27258</v>
      </c>
      <c r="J28" s="6">
        <v>0.12</v>
      </c>
      <c r="K28" s="5">
        <f t="shared" si="2"/>
        <v>0.25470366718349285</v>
      </c>
      <c r="L28" s="7"/>
    </row>
    <row r="29" spans="1:12" x14ac:dyDescent="0.25">
      <c r="A29" t="s">
        <v>3</v>
      </c>
      <c r="B29">
        <v>2022</v>
      </c>
      <c r="C29">
        <v>427236226636.13214</v>
      </c>
      <c r="D29">
        <v>103747236287.3394</v>
      </c>
      <c r="E29">
        <v>9041851</v>
      </c>
      <c r="F29" s="4">
        <v>1435</v>
      </c>
      <c r="G29">
        <f t="shared" si="0"/>
        <v>12975056185</v>
      </c>
      <c r="H29">
        <f t="shared" si="1"/>
        <v>32.927504940598617</v>
      </c>
      <c r="I29">
        <f t="shared" si="3"/>
        <v>753581144769.57922</v>
      </c>
      <c r="J29" s="6">
        <v>0.12</v>
      </c>
      <c r="K29" s="5">
        <f t="shared" si="2"/>
        <v>0.24283342520881002</v>
      </c>
      <c r="L29" s="7"/>
    </row>
    <row r="30" spans="1:12" x14ac:dyDescent="0.25">
      <c r="A30" t="s">
        <v>4</v>
      </c>
      <c r="B30">
        <v>1980</v>
      </c>
      <c r="C30">
        <v>241871430251.09949</v>
      </c>
      <c r="D30">
        <v>55489690964.44529</v>
      </c>
      <c r="E30">
        <v>9859242</v>
      </c>
      <c r="F30" s="4">
        <v>1706.5</v>
      </c>
      <c r="G30">
        <f t="shared" si="0"/>
        <v>16824796473</v>
      </c>
      <c r="H30">
        <f t="shared" si="1"/>
        <v>14.375890409090447</v>
      </c>
      <c r="I30">
        <f>D30</f>
        <v>55489690964.44529</v>
      </c>
      <c r="J30" s="6">
        <v>0.12</v>
      </c>
      <c r="K30" s="5">
        <f t="shared" si="2"/>
        <v>0.2294181289077363</v>
      </c>
      <c r="L30" s="7"/>
    </row>
    <row r="31" spans="1:12" x14ac:dyDescent="0.25">
      <c r="A31" t="s">
        <v>4</v>
      </c>
      <c r="B31">
        <v>1981</v>
      </c>
      <c r="C31">
        <v>241195923298.87448</v>
      </c>
      <c r="D31">
        <v>46855938740.144508</v>
      </c>
      <c r="E31">
        <v>9858982</v>
      </c>
      <c r="F31" s="4">
        <v>1683.4</v>
      </c>
      <c r="G31">
        <f t="shared" si="0"/>
        <v>16596610298.800001</v>
      </c>
      <c r="H31">
        <f t="shared" si="1"/>
        <v>14.532842487499623</v>
      </c>
      <c r="I31">
        <f>I30-(I30*J30)+D31</f>
        <v>95686866788.856354</v>
      </c>
      <c r="J31" s="6">
        <v>0.12</v>
      </c>
      <c r="K31" s="5">
        <f t="shared" si="2"/>
        <v>0.19426505265631561</v>
      </c>
      <c r="L31" s="7"/>
    </row>
    <row r="32" spans="1:12" x14ac:dyDescent="0.25">
      <c r="A32" t="s">
        <v>4</v>
      </c>
      <c r="B32">
        <v>1982</v>
      </c>
      <c r="C32">
        <v>242631007214.07294</v>
      </c>
      <c r="D32">
        <v>44959244205.827316</v>
      </c>
      <c r="E32">
        <v>9856303</v>
      </c>
      <c r="F32" s="4">
        <v>1669</v>
      </c>
      <c r="G32">
        <f t="shared" si="0"/>
        <v>16450169707</v>
      </c>
      <c r="H32">
        <f t="shared" si="1"/>
        <v>14.74945313851849</v>
      </c>
      <c r="I32">
        <f>I31-(I31*J31)+D32</f>
        <v>129163686980.0209</v>
      </c>
      <c r="J32" s="6">
        <v>0.12</v>
      </c>
      <c r="K32" s="5">
        <f t="shared" si="2"/>
        <v>0.18529884008666644</v>
      </c>
      <c r="L32" s="7"/>
    </row>
    <row r="33" spans="1:12" x14ac:dyDescent="0.25">
      <c r="A33" t="s">
        <v>4</v>
      </c>
      <c r="B33">
        <v>1983</v>
      </c>
      <c r="C33">
        <v>243387633982.27017</v>
      </c>
      <c r="D33">
        <v>42592169462.503883</v>
      </c>
      <c r="E33">
        <v>9855520</v>
      </c>
      <c r="F33" s="4">
        <v>1674.9</v>
      </c>
      <c r="G33">
        <f t="shared" si="0"/>
        <v>16507010448</v>
      </c>
      <c r="H33">
        <f t="shared" si="1"/>
        <v>14.744501116600382</v>
      </c>
      <c r="I33">
        <f t="shared" ref="I33:I72" si="4">I32-(I32*J32)+D33</f>
        <v>156256214004.92227</v>
      </c>
      <c r="J33" s="6">
        <v>0.12</v>
      </c>
      <c r="K33" s="5">
        <f t="shared" si="2"/>
        <v>0.17499726163411636</v>
      </c>
      <c r="L33" s="7"/>
    </row>
    <row r="34" spans="1:12" x14ac:dyDescent="0.25">
      <c r="A34" t="s">
        <v>4</v>
      </c>
      <c r="B34">
        <v>1984</v>
      </c>
      <c r="C34">
        <v>249390504802.26941</v>
      </c>
      <c r="D34">
        <v>43544731769.133965</v>
      </c>
      <c r="E34">
        <v>9855372</v>
      </c>
      <c r="F34" s="4">
        <v>1699</v>
      </c>
      <c r="G34">
        <f t="shared" si="0"/>
        <v>16744277028</v>
      </c>
      <c r="H34">
        <f t="shared" si="1"/>
        <v>14.8940742192234</v>
      </c>
      <c r="I34">
        <f t="shared" si="4"/>
        <v>181050200093.46558</v>
      </c>
      <c r="J34" s="6">
        <v>0.12</v>
      </c>
      <c r="K34" s="5">
        <f t="shared" si="2"/>
        <v>0.17460460976114001</v>
      </c>
      <c r="L34" s="7"/>
    </row>
    <row r="35" spans="1:12" x14ac:dyDescent="0.25">
      <c r="A35" t="s">
        <v>4</v>
      </c>
      <c r="B35">
        <v>1985</v>
      </c>
      <c r="C35">
        <v>253509918686.24948</v>
      </c>
      <c r="D35">
        <v>45443111653.532013</v>
      </c>
      <c r="E35">
        <v>9858308</v>
      </c>
      <c r="F35" s="4">
        <v>1705</v>
      </c>
      <c r="G35">
        <f t="shared" si="0"/>
        <v>16808415140</v>
      </c>
      <c r="H35">
        <f t="shared" si="1"/>
        <v>15.08232135955261</v>
      </c>
      <c r="I35">
        <f t="shared" si="4"/>
        <v>204767287735.78171</v>
      </c>
      <c r="J35" s="6">
        <v>0.12</v>
      </c>
      <c r="K35" s="5">
        <f t="shared" si="2"/>
        <v>0.17925575412997391</v>
      </c>
      <c r="L35" s="7"/>
    </row>
    <row r="36" spans="1:12" x14ac:dyDescent="0.25">
      <c r="A36" t="s">
        <v>4</v>
      </c>
      <c r="B36">
        <v>1986</v>
      </c>
      <c r="C36">
        <v>258130802439.94397</v>
      </c>
      <c r="D36">
        <v>46891343296.484352</v>
      </c>
      <c r="E36">
        <v>9861823</v>
      </c>
      <c r="F36" s="4">
        <v>1685</v>
      </c>
      <c r="G36">
        <f t="shared" si="0"/>
        <v>16617171755</v>
      </c>
      <c r="H36">
        <f t="shared" si="1"/>
        <v>15.533979322460459</v>
      </c>
      <c r="I36">
        <f t="shared" si="4"/>
        <v>227086556503.97226</v>
      </c>
      <c r="J36" s="6">
        <v>0.12</v>
      </c>
      <c r="K36" s="5">
        <f t="shared" si="2"/>
        <v>0.18165729488015661</v>
      </c>
      <c r="L36" s="7"/>
    </row>
    <row r="37" spans="1:12" x14ac:dyDescent="0.25">
      <c r="A37" t="s">
        <v>4</v>
      </c>
      <c r="B37">
        <v>1987</v>
      </c>
      <c r="C37">
        <v>264085000038.94434</v>
      </c>
      <c r="D37">
        <v>49192666086.883568</v>
      </c>
      <c r="E37">
        <v>9870234</v>
      </c>
      <c r="F37" s="4">
        <v>1669.9</v>
      </c>
      <c r="G37">
        <f t="shared" si="0"/>
        <v>16482303756.6</v>
      </c>
      <c r="H37">
        <f t="shared" si="1"/>
        <v>16.022335465890009</v>
      </c>
      <c r="I37">
        <f t="shared" si="4"/>
        <v>249028835810.37918</v>
      </c>
      <c r="J37" s="6">
        <v>0.12</v>
      </c>
      <c r="K37" s="5">
        <f t="shared" si="2"/>
        <v>0.18627588117321764</v>
      </c>
      <c r="L37" s="7"/>
    </row>
    <row r="38" spans="1:12" x14ac:dyDescent="0.25">
      <c r="A38" t="s">
        <v>4</v>
      </c>
      <c r="B38">
        <v>1988</v>
      </c>
      <c r="C38">
        <v>276558287082.51349</v>
      </c>
      <c r="D38">
        <v>57101459259.911293</v>
      </c>
      <c r="E38">
        <v>9901664</v>
      </c>
      <c r="F38" s="4">
        <v>1657.9</v>
      </c>
      <c r="G38">
        <f t="shared" si="0"/>
        <v>16415968745.6</v>
      </c>
      <c r="H38">
        <f t="shared" si="1"/>
        <v>16.846906287917967</v>
      </c>
      <c r="I38">
        <f t="shared" si="4"/>
        <v>276246834773.04498</v>
      </c>
      <c r="J38" s="6">
        <v>0.12</v>
      </c>
      <c r="K38" s="5">
        <f t="shared" si="2"/>
        <v>0.20647169847011163</v>
      </c>
      <c r="L38" s="7"/>
    </row>
    <row r="39" spans="1:12" x14ac:dyDescent="0.25">
      <c r="A39" t="s">
        <v>4</v>
      </c>
      <c r="B39">
        <v>1989</v>
      </c>
      <c r="C39">
        <v>286152554601.8443</v>
      </c>
      <c r="D39">
        <v>63715444232.502296</v>
      </c>
      <c r="E39">
        <v>9937697</v>
      </c>
      <c r="F39" s="4">
        <v>1648.9</v>
      </c>
      <c r="G39">
        <f t="shared" si="0"/>
        <v>16386268583.300001</v>
      </c>
      <c r="H39">
        <f t="shared" si="1"/>
        <v>17.462947903433946</v>
      </c>
      <c r="I39">
        <f t="shared" si="4"/>
        <v>306812658832.78192</v>
      </c>
      <c r="J39" s="6">
        <v>0.12</v>
      </c>
      <c r="K39" s="5">
        <f t="shared" si="2"/>
        <v>0.22266250364654841</v>
      </c>
      <c r="L39" s="7"/>
    </row>
    <row r="40" spans="1:12" x14ac:dyDescent="0.25">
      <c r="A40" t="s">
        <v>4</v>
      </c>
      <c r="B40">
        <v>1990</v>
      </c>
      <c r="C40">
        <v>295130312407.3963</v>
      </c>
      <c r="D40">
        <v>69162749772.291748</v>
      </c>
      <c r="E40">
        <v>9967379</v>
      </c>
      <c r="F40" s="4">
        <v>1662.9</v>
      </c>
      <c r="G40">
        <f t="shared" si="0"/>
        <v>16574754539.1</v>
      </c>
      <c r="H40">
        <f t="shared" si="1"/>
        <v>17.806014062602323</v>
      </c>
      <c r="I40">
        <f t="shared" si="4"/>
        <v>339157889545.13983</v>
      </c>
      <c r="J40" s="6">
        <v>0.12</v>
      </c>
      <c r="K40" s="5">
        <f t="shared" si="2"/>
        <v>0.23434647972323447</v>
      </c>
      <c r="L40" s="7"/>
    </row>
    <row r="41" spans="1:12" x14ac:dyDescent="0.25">
      <c r="A41" t="s">
        <v>4</v>
      </c>
      <c r="B41">
        <v>1991</v>
      </c>
      <c r="C41">
        <v>300540270633.77435</v>
      </c>
      <c r="D41">
        <v>66279774834.598389</v>
      </c>
      <c r="E41">
        <v>10004486</v>
      </c>
      <c r="F41" s="4">
        <v>1625.8</v>
      </c>
      <c r="G41">
        <f t="shared" si="0"/>
        <v>16265293338.799999</v>
      </c>
      <c r="H41">
        <f t="shared" si="1"/>
        <v>18.477396280142788</v>
      </c>
      <c r="I41">
        <f t="shared" si="4"/>
        <v>364738717634.32141</v>
      </c>
      <c r="J41" s="6">
        <v>0.12</v>
      </c>
      <c r="K41" s="5">
        <f t="shared" si="2"/>
        <v>0.22053542007807705</v>
      </c>
      <c r="L41" s="7"/>
    </row>
    <row r="42" spans="1:12" x14ac:dyDescent="0.25">
      <c r="A42" t="s">
        <v>4</v>
      </c>
      <c r="B42">
        <v>1992</v>
      </c>
      <c r="C42">
        <v>305140504133.54865</v>
      </c>
      <c r="D42">
        <v>66971014679.61245</v>
      </c>
      <c r="E42">
        <v>10045158</v>
      </c>
      <c r="F42" s="4">
        <v>1602.7</v>
      </c>
      <c r="G42">
        <f t="shared" si="0"/>
        <v>16099374726.6</v>
      </c>
      <c r="H42">
        <f t="shared" si="1"/>
        <v>18.953562440495524</v>
      </c>
      <c r="I42">
        <f t="shared" si="4"/>
        <v>387941086197.81525</v>
      </c>
      <c r="J42" s="6">
        <v>0.12</v>
      </c>
      <c r="K42" s="5">
        <f t="shared" si="2"/>
        <v>0.21947599146097541</v>
      </c>
      <c r="L42" s="7"/>
    </row>
    <row r="43" spans="1:12" x14ac:dyDescent="0.25">
      <c r="A43" t="s">
        <v>4</v>
      </c>
      <c r="B43">
        <v>1993</v>
      </c>
      <c r="C43">
        <v>302205439784.6662</v>
      </c>
      <c r="D43">
        <v>65281691433.091751</v>
      </c>
      <c r="E43">
        <v>10084475</v>
      </c>
      <c r="F43" s="4">
        <v>1558.6</v>
      </c>
      <c r="G43">
        <f t="shared" si="0"/>
        <v>15717662735</v>
      </c>
      <c r="H43">
        <f t="shared" si="1"/>
        <v>19.227123324876853</v>
      </c>
      <c r="I43">
        <f t="shared" si="4"/>
        <v>406669847287.16913</v>
      </c>
      <c r="J43" s="6">
        <v>0.12</v>
      </c>
      <c r="K43" s="5">
        <f t="shared" si="2"/>
        <v>0.2160175921373475</v>
      </c>
      <c r="L43" s="7"/>
    </row>
    <row r="44" spans="1:12" x14ac:dyDescent="0.25">
      <c r="A44" t="s">
        <v>4</v>
      </c>
      <c r="B44">
        <v>1994</v>
      </c>
      <c r="C44">
        <v>311957523308.04669</v>
      </c>
      <c r="D44">
        <v>65524468386.740974</v>
      </c>
      <c r="E44">
        <v>10115603</v>
      </c>
      <c r="F44" s="4">
        <v>1558.6</v>
      </c>
      <c r="G44">
        <f t="shared" si="0"/>
        <v>15766178835.799999</v>
      </c>
      <c r="H44">
        <f t="shared" si="1"/>
        <v>19.786501634732822</v>
      </c>
      <c r="I44">
        <f t="shared" si="4"/>
        <v>423393933999.44983</v>
      </c>
      <c r="J44" s="6">
        <v>0.12</v>
      </c>
      <c r="K44" s="5">
        <f t="shared" si="2"/>
        <v>0.210042917676449</v>
      </c>
      <c r="L44" s="7"/>
    </row>
    <row r="45" spans="1:12" x14ac:dyDescent="0.25">
      <c r="A45" t="s">
        <v>4</v>
      </c>
      <c r="B45">
        <v>1995</v>
      </c>
      <c r="C45">
        <v>319396952585.87598</v>
      </c>
      <c r="D45">
        <v>67761725683.809723</v>
      </c>
      <c r="E45">
        <v>10136811</v>
      </c>
      <c r="F45" s="4">
        <v>1578</v>
      </c>
      <c r="G45">
        <f t="shared" si="0"/>
        <v>15995887758</v>
      </c>
      <c r="H45">
        <f t="shared" si="1"/>
        <v>19.967441471082868</v>
      </c>
      <c r="I45">
        <f t="shared" si="4"/>
        <v>440348387603.32556</v>
      </c>
      <c r="J45" s="6">
        <v>0.12</v>
      </c>
      <c r="K45" s="5">
        <f t="shared" si="2"/>
        <v>0.21215520415959727</v>
      </c>
      <c r="L45" s="7"/>
    </row>
    <row r="46" spans="1:12" x14ac:dyDescent="0.25">
      <c r="A46" t="s">
        <v>4</v>
      </c>
      <c r="B46">
        <v>1996</v>
      </c>
      <c r="C46">
        <v>323617567359.63574</v>
      </c>
      <c r="D46">
        <v>68136508043.133949</v>
      </c>
      <c r="E46">
        <v>10156637</v>
      </c>
      <c r="F46" s="4">
        <v>1575</v>
      </c>
      <c r="G46">
        <f t="shared" si="0"/>
        <v>15996703275</v>
      </c>
      <c r="H46">
        <f t="shared" si="1"/>
        <v>20.230266311521351</v>
      </c>
      <c r="I46">
        <f t="shared" si="4"/>
        <v>455643089134.06049</v>
      </c>
      <c r="J46" s="6">
        <v>0.12</v>
      </c>
      <c r="K46" s="5">
        <f t="shared" si="2"/>
        <v>0.2105463822593226</v>
      </c>
      <c r="L46" s="7"/>
    </row>
    <row r="47" spans="1:12" x14ac:dyDescent="0.25">
      <c r="A47" t="s">
        <v>4</v>
      </c>
      <c r="B47">
        <v>1997</v>
      </c>
      <c r="C47">
        <v>335894554944.54395</v>
      </c>
      <c r="D47">
        <v>72701202735.50856</v>
      </c>
      <c r="E47">
        <v>10181245</v>
      </c>
      <c r="F47" s="4">
        <v>1582</v>
      </c>
      <c r="G47">
        <f t="shared" si="0"/>
        <v>16106729590</v>
      </c>
      <c r="H47">
        <f t="shared" si="1"/>
        <v>20.854299010091218</v>
      </c>
      <c r="I47">
        <f t="shared" si="4"/>
        <v>473667121173.48175</v>
      </c>
      <c r="J47" s="6">
        <v>0.12</v>
      </c>
      <c r="K47" s="5">
        <f t="shared" si="2"/>
        <v>0.21644055155199374</v>
      </c>
      <c r="L47" s="7"/>
    </row>
    <row r="48" spans="1:12" x14ac:dyDescent="0.25">
      <c r="A48" t="s">
        <v>4</v>
      </c>
      <c r="B48">
        <v>1998</v>
      </c>
      <c r="C48">
        <v>342484242694.34314</v>
      </c>
      <c r="D48">
        <v>74338336714.680038</v>
      </c>
      <c r="E48">
        <v>10203008</v>
      </c>
      <c r="F48" s="4">
        <v>1574</v>
      </c>
      <c r="G48">
        <f t="shared" si="0"/>
        <v>16059534592</v>
      </c>
      <c r="H48">
        <f t="shared" si="1"/>
        <v>21.325913321607118</v>
      </c>
      <c r="I48">
        <f t="shared" si="4"/>
        <v>491165403347.34399</v>
      </c>
      <c r="J48" s="6">
        <v>0.12</v>
      </c>
      <c r="K48" s="5">
        <f t="shared" si="2"/>
        <v>0.21705622463052923</v>
      </c>
      <c r="L48" s="7"/>
    </row>
    <row r="49" spans="1:12" x14ac:dyDescent="0.25">
      <c r="A49" t="s">
        <v>4</v>
      </c>
      <c r="B49">
        <v>1999</v>
      </c>
      <c r="C49">
        <v>354617493993.78375</v>
      </c>
      <c r="D49">
        <v>77382635936.183167</v>
      </c>
      <c r="E49">
        <v>10226419</v>
      </c>
      <c r="F49" s="4">
        <v>1575</v>
      </c>
      <c r="G49">
        <f t="shared" si="0"/>
        <v>16106609925</v>
      </c>
      <c r="H49">
        <f t="shared" si="1"/>
        <v>22.016892173154417</v>
      </c>
      <c r="I49">
        <f t="shared" si="4"/>
        <v>509608190881.84589</v>
      </c>
      <c r="J49" s="6">
        <v>0.12</v>
      </c>
      <c r="K49" s="5">
        <f t="shared" si="2"/>
        <v>0.21821437815907538</v>
      </c>
      <c r="L49" s="7"/>
    </row>
    <row r="50" spans="1:12" x14ac:dyDescent="0.25">
      <c r="A50" t="s">
        <v>4</v>
      </c>
      <c r="B50">
        <v>2000</v>
      </c>
      <c r="C50">
        <v>367797580691.14508</v>
      </c>
      <c r="D50">
        <v>81227904718.070267</v>
      </c>
      <c r="E50">
        <v>10251250</v>
      </c>
      <c r="F50" s="4">
        <v>1589</v>
      </c>
      <c r="G50">
        <f t="shared" si="0"/>
        <v>16289236250</v>
      </c>
      <c r="H50">
        <f t="shared" si="1"/>
        <v>22.57917897723075</v>
      </c>
      <c r="I50">
        <f t="shared" si="4"/>
        <v>529683112694.09467</v>
      </c>
      <c r="J50" s="6">
        <v>0.12</v>
      </c>
      <c r="K50" s="5">
        <f t="shared" si="2"/>
        <v>0.22084948075360158</v>
      </c>
      <c r="L50" s="7"/>
    </row>
    <row r="51" spans="1:12" x14ac:dyDescent="0.25">
      <c r="A51" t="s">
        <v>4</v>
      </c>
      <c r="B51">
        <v>2001</v>
      </c>
      <c r="C51">
        <v>371841896085.61029</v>
      </c>
      <c r="D51">
        <v>82548779814.359329</v>
      </c>
      <c r="E51">
        <v>10286570</v>
      </c>
      <c r="F51" s="4">
        <v>1581</v>
      </c>
      <c r="G51">
        <f t="shared" si="0"/>
        <v>16263067170</v>
      </c>
      <c r="H51">
        <f t="shared" si="1"/>
        <v>22.864192356749044</v>
      </c>
      <c r="I51">
        <f t="shared" si="4"/>
        <v>548669918985.1626</v>
      </c>
      <c r="J51" s="6">
        <v>0.12</v>
      </c>
      <c r="K51" s="5">
        <f t="shared" si="2"/>
        <v>0.2219996742791831</v>
      </c>
      <c r="L51" s="7"/>
    </row>
    <row r="52" spans="1:12" x14ac:dyDescent="0.25">
      <c r="A52" t="s">
        <v>4</v>
      </c>
      <c r="B52">
        <v>2002</v>
      </c>
      <c r="C52">
        <v>378188843495.68573</v>
      </c>
      <c r="D52">
        <v>79139193444.84996</v>
      </c>
      <c r="E52">
        <v>10332785</v>
      </c>
      <c r="F52" s="4">
        <v>1594</v>
      </c>
      <c r="G52">
        <f t="shared" si="0"/>
        <v>16470459290</v>
      </c>
      <c r="H52">
        <f t="shared" si="1"/>
        <v>22.961645260572798</v>
      </c>
      <c r="I52">
        <f t="shared" si="4"/>
        <v>561968722151.79309</v>
      </c>
      <c r="J52" s="6">
        <v>0.12</v>
      </c>
      <c r="K52" s="5">
        <f t="shared" si="2"/>
        <v>0.20925840305956239</v>
      </c>
      <c r="L52" s="7"/>
    </row>
    <row r="53" spans="1:12" x14ac:dyDescent="0.25">
      <c r="A53" t="s">
        <v>4</v>
      </c>
      <c r="B53">
        <v>2003</v>
      </c>
      <c r="C53">
        <v>382114274583.92047</v>
      </c>
      <c r="D53">
        <v>79034840428.948013</v>
      </c>
      <c r="E53">
        <v>10376133</v>
      </c>
      <c r="F53" s="4">
        <v>1598</v>
      </c>
      <c r="G53">
        <f t="shared" si="0"/>
        <v>16581060534</v>
      </c>
      <c r="H53">
        <f t="shared" si="1"/>
        <v>23.045225231545523</v>
      </c>
      <c r="I53">
        <f t="shared" si="4"/>
        <v>573567315922.526</v>
      </c>
      <c r="J53" s="6">
        <v>0.12</v>
      </c>
      <c r="K53" s="5">
        <f t="shared" si="2"/>
        <v>0.20683561354782695</v>
      </c>
      <c r="L53" s="7"/>
    </row>
    <row r="54" spans="1:12" x14ac:dyDescent="0.25">
      <c r="A54" t="s">
        <v>4</v>
      </c>
      <c r="B54">
        <v>2004</v>
      </c>
      <c r="C54">
        <v>395760365571.44739</v>
      </c>
      <c r="D54">
        <v>86171510267.235123</v>
      </c>
      <c r="E54">
        <v>10421137</v>
      </c>
      <c r="F54" s="4">
        <v>1588</v>
      </c>
      <c r="G54">
        <f t="shared" si="0"/>
        <v>16548765556</v>
      </c>
      <c r="H54">
        <f t="shared" si="1"/>
        <v>23.914796800535893</v>
      </c>
      <c r="I54">
        <f t="shared" si="4"/>
        <v>590910748279.05798</v>
      </c>
      <c r="J54" s="6">
        <v>0.12</v>
      </c>
      <c r="K54" s="5">
        <f t="shared" si="2"/>
        <v>0.21773658446775013</v>
      </c>
      <c r="L54" s="7"/>
    </row>
    <row r="55" spans="1:12" x14ac:dyDescent="0.25">
      <c r="A55" t="s">
        <v>4</v>
      </c>
      <c r="B55">
        <v>2005</v>
      </c>
      <c r="C55">
        <v>404948884226.6767</v>
      </c>
      <c r="D55">
        <v>91115839218.804657</v>
      </c>
      <c r="E55">
        <v>10478617</v>
      </c>
      <c r="F55" s="4">
        <v>1578</v>
      </c>
      <c r="G55">
        <f t="shared" si="0"/>
        <v>16535257626</v>
      </c>
      <c r="H55">
        <f t="shared" si="1"/>
        <v>24.490025700593623</v>
      </c>
      <c r="I55">
        <f t="shared" si="4"/>
        <v>611117297704.37573</v>
      </c>
      <c r="J55" s="6">
        <v>0.12</v>
      </c>
      <c r="K55" s="5">
        <f t="shared" si="2"/>
        <v>0.22500577916841744</v>
      </c>
      <c r="L55" s="7"/>
    </row>
    <row r="56" spans="1:12" x14ac:dyDescent="0.25">
      <c r="A56" t="s">
        <v>4</v>
      </c>
      <c r="B56">
        <v>2006</v>
      </c>
      <c r="C56">
        <v>415284559325.88409</v>
      </c>
      <c r="D56">
        <v>92852062684.72496</v>
      </c>
      <c r="E56">
        <v>10547958</v>
      </c>
      <c r="F56" s="4">
        <v>1592</v>
      </c>
      <c r="G56">
        <f t="shared" si="0"/>
        <v>16792349136</v>
      </c>
      <c r="H56">
        <f t="shared" si="1"/>
        <v>24.730581526296589</v>
      </c>
      <c r="I56">
        <f t="shared" si="4"/>
        <v>630635284664.57556</v>
      </c>
      <c r="J56" s="6">
        <v>0.12</v>
      </c>
      <c r="K56" s="5">
        <f t="shared" si="2"/>
        <v>0.22358660007838541</v>
      </c>
      <c r="L56" s="7"/>
    </row>
    <row r="57" spans="1:12" x14ac:dyDescent="0.25">
      <c r="A57" t="s">
        <v>4</v>
      </c>
      <c r="B57">
        <v>2007</v>
      </c>
      <c r="C57">
        <v>430554260439.95874</v>
      </c>
      <c r="D57">
        <v>99613433130.680817</v>
      </c>
      <c r="E57">
        <v>10625700</v>
      </c>
      <c r="F57" s="4">
        <v>1594</v>
      </c>
      <c r="G57">
        <f t="shared" si="0"/>
        <v>16937365800</v>
      </c>
      <c r="H57">
        <f t="shared" si="1"/>
        <v>25.420379150101294</v>
      </c>
      <c r="I57">
        <f t="shared" si="4"/>
        <v>654572483635.50732</v>
      </c>
      <c r="J57" s="6">
        <v>0.12</v>
      </c>
      <c r="K57" s="5">
        <f t="shared" si="2"/>
        <v>0.2313609277234687</v>
      </c>
      <c r="L57" s="7"/>
    </row>
    <row r="58" spans="1:12" x14ac:dyDescent="0.25">
      <c r="A58" t="s">
        <v>4</v>
      </c>
      <c r="B58">
        <v>2008</v>
      </c>
      <c r="C58">
        <v>432478428732.47351</v>
      </c>
      <c r="D58">
        <v>101512946937.25308</v>
      </c>
      <c r="E58">
        <v>10709973</v>
      </c>
      <c r="F58" s="4">
        <v>1582</v>
      </c>
      <c r="G58">
        <f t="shared" si="0"/>
        <v>16943177286</v>
      </c>
      <c r="H58">
        <f t="shared" si="1"/>
        <v>25.525225961592614</v>
      </c>
      <c r="I58">
        <f t="shared" si="4"/>
        <v>677536732536.49951</v>
      </c>
      <c r="J58" s="6">
        <v>0.12</v>
      </c>
      <c r="K58" s="5">
        <f t="shared" si="2"/>
        <v>0.2347237230646893</v>
      </c>
      <c r="L58" s="7"/>
    </row>
    <row r="59" spans="1:12" x14ac:dyDescent="0.25">
      <c r="A59" t="s">
        <v>4</v>
      </c>
      <c r="B59">
        <v>2009</v>
      </c>
      <c r="C59">
        <v>424233483110.43445</v>
      </c>
      <c r="D59">
        <v>94326731800.835114</v>
      </c>
      <c r="E59">
        <v>10796493</v>
      </c>
      <c r="F59" s="4">
        <v>1563</v>
      </c>
      <c r="G59">
        <f t="shared" si="0"/>
        <v>16874918559</v>
      </c>
      <c r="H59">
        <f t="shared" si="1"/>
        <v>25.139883290528562</v>
      </c>
      <c r="I59">
        <f t="shared" si="4"/>
        <v>690559056432.95471</v>
      </c>
      <c r="J59" s="6">
        <v>0.12</v>
      </c>
      <c r="K59" s="5">
        <f t="shared" si="2"/>
        <v>0.22234626816639183</v>
      </c>
      <c r="L59" s="7"/>
    </row>
    <row r="60" spans="1:12" x14ac:dyDescent="0.25">
      <c r="A60" t="s">
        <v>4</v>
      </c>
      <c r="B60">
        <v>2010</v>
      </c>
      <c r="C60">
        <v>435731531622.91492</v>
      </c>
      <c r="D60">
        <v>94226507282.399185</v>
      </c>
      <c r="E60">
        <v>10895586</v>
      </c>
      <c r="F60" s="4">
        <v>1574</v>
      </c>
      <c r="G60">
        <f t="shared" si="0"/>
        <v>17149652364</v>
      </c>
      <c r="H60">
        <f t="shared" si="1"/>
        <v>25.407601412235536</v>
      </c>
      <c r="I60">
        <f t="shared" si="4"/>
        <v>701918476943.39929</v>
      </c>
      <c r="J60" s="6">
        <v>0.12</v>
      </c>
      <c r="K60" s="5">
        <f t="shared" si="2"/>
        <v>0.21624899839459738</v>
      </c>
      <c r="L60" s="7"/>
    </row>
    <row r="61" spans="1:12" x14ac:dyDescent="0.25">
      <c r="A61" t="s">
        <v>4</v>
      </c>
      <c r="B61">
        <v>2011</v>
      </c>
      <c r="C61">
        <v>444146182789.13953</v>
      </c>
      <c r="D61">
        <v>99352602183.27536</v>
      </c>
      <c r="E61">
        <v>11038264</v>
      </c>
      <c r="F61" s="4">
        <v>1590</v>
      </c>
      <c r="G61">
        <f t="shared" si="0"/>
        <v>17550839760</v>
      </c>
      <c r="H61">
        <f t="shared" si="1"/>
        <v>25.306263908886574</v>
      </c>
      <c r="I61">
        <f t="shared" si="4"/>
        <v>717040861893.4668</v>
      </c>
      <c r="J61" s="6">
        <v>0.12</v>
      </c>
      <c r="K61" s="5">
        <f t="shared" si="2"/>
        <v>0.22369347307988341</v>
      </c>
      <c r="L61" s="7"/>
    </row>
    <row r="62" spans="1:12" x14ac:dyDescent="0.25">
      <c r="A62" t="s">
        <v>4</v>
      </c>
      <c r="B62">
        <v>2012</v>
      </c>
      <c r="C62">
        <v>445104666566.06689</v>
      </c>
      <c r="D62">
        <v>100078944797.123</v>
      </c>
      <c r="E62">
        <v>11106932</v>
      </c>
      <c r="F62" s="4">
        <v>1587</v>
      </c>
      <c r="G62">
        <f t="shared" si="0"/>
        <v>17626701084</v>
      </c>
      <c r="H62">
        <f t="shared" si="1"/>
        <v>25.251728298160938</v>
      </c>
      <c r="I62">
        <f t="shared" si="4"/>
        <v>731074903263.37378</v>
      </c>
      <c r="J62" s="6">
        <v>0.12</v>
      </c>
      <c r="K62" s="5">
        <f t="shared" si="2"/>
        <v>0.22484362064595043</v>
      </c>
      <c r="L62" s="7"/>
    </row>
    <row r="63" spans="1:12" x14ac:dyDescent="0.25">
      <c r="A63" t="s">
        <v>4</v>
      </c>
      <c r="B63">
        <v>2013</v>
      </c>
      <c r="C63">
        <v>446464436746.24976</v>
      </c>
      <c r="D63">
        <v>97887223018.598389</v>
      </c>
      <c r="E63">
        <v>11159407</v>
      </c>
      <c r="F63" s="4">
        <v>1586</v>
      </c>
      <c r="G63">
        <f t="shared" si="0"/>
        <v>17698819502</v>
      </c>
      <c r="H63">
        <f t="shared" si="1"/>
        <v>25.225661897721395</v>
      </c>
      <c r="I63">
        <f t="shared" si="4"/>
        <v>741233137890.36731</v>
      </c>
      <c r="J63" s="6">
        <v>0.12</v>
      </c>
      <c r="K63" s="5">
        <f t="shared" si="2"/>
        <v>0.21924976540568913</v>
      </c>
      <c r="L63" s="7"/>
    </row>
    <row r="64" spans="1:12" x14ac:dyDescent="0.25">
      <c r="A64" t="s">
        <v>4</v>
      </c>
      <c r="B64">
        <v>2014</v>
      </c>
      <c r="C64">
        <v>454346946668.4115</v>
      </c>
      <c r="D64">
        <v>103508968394.07768</v>
      </c>
      <c r="E64">
        <v>11209057</v>
      </c>
      <c r="F64" s="4">
        <v>1582</v>
      </c>
      <c r="G64">
        <f t="shared" si="0"/>
        <v>17732728174</v>
      </c>
      <c r="H64">
        <f t="shared" si="1"/>
        <v>25.621942783433742</v>
      </c>
      <c r="I64">
        <f t="shared" si="4"/>
        <v>755794129737.60083</v>
      </c>
      <c r="J64" s="6">
        <v>0.12</v>
      </c>
      <c r="K64" s="5">
        <f t="shared" si="2"/>
        <v>0.22781922306967745</v>
      </c>
      <c r="L64" s="7"/>
    </row>
    <row r="65" spans="1:12" x14ac:dyDescent="0.25">
      <c r="A65" t="s">
        <v>4</v>
      </c>
      <c r="B65">
        <v>2015</v>
      </c>
      <c r="C65">
        <v>461044767544.53101</v>
      </c>
      <c r="D65">
        <v>106741020496.44525</v>
      </c>
      <c r="E65">
        <v>11274196</v>
      </c>
      <c r="F65" s="4">
        <v>1575</v>
      </c>
      <c r="G65">
        <f t="shared" si="0"/>
        <v>17756858700</v>
      </c>
      <c r="H65">
        <f t="shared" si="1"/>
        <v>25.964320341442544</v>
      </c>
      <c r="I65">
        <f t="shared" si="4"/>
        <v>771839854665.53394</v>
      </c>
      <c r="J65" s="6">
        <v>0.12</v>
      </c>
      <c r="K65" s="5">
        <f t="shared" si="2"/>
        <v>0.23151986099947536</v>
      </c>
      <c r="L65" s="7"/>
    </row>
    <row r="66" spans="1:12" x14ac:dyDescent="0.25">
      <c r="A66" t="s">
        <v>4</v>
      </c>
      <c r="B66">
        <v>2016</v>
      </c>
      <c r="C66">
        <v>466547349016.53143</v>
      </c>
      <c r="D66">
        <v>111321506885.79213</v>
      </c>
      <c r="E66">
        <v>11331422</v>
      </c>
      <c r="F66" s="4">
        <v>1574</v>
      </c>
      <c r="G66">
        <f t="shared" si="0"/>
        <v>17835658228</v>
      </c>
      <c r="H66">
        <f t="shared" si="1"/>
        <v>26.158123409435149</v>
      </c>
      <c r="I66">
        <f t="shared" si="4"/>
        <v>790540578991.46204</v>
      </c>
      <c r="J66" s="6">
        <v>0.12</v>
      </c>
      <c r="K66" s="5">
        <f t="shared" si="2"/>
        <v>0.23860709340746381</v>
      </c>
      <c r="L66" s="7"/>
    </row>
    <row r="67" spans="1:12" x14ac:dyDescent="0.25">
      <c r="A67" t="s">
        <v>4</v>
      </c>
      <c r="B67">
        <v>2017</v>
      </c>
      <c r="C67">
        <v>473426438780.18262</v>
      </c>
      <c r="D67">
        <v>112693371865.99564</v>
      </c>
      <c r="E67">
        <v>11375158</v>
      </c>
      <c r="F67" s="4">
        <v>1578</v>
      </c>
      <c r="G67">
        <f t="shared" ref="G67:G130" si="5">E67*F67</f>
        <v>17949999324</v>
      </c>
      <c r="H67">
        <f t="shared" ref="H67:H130" si="6">C67/G67</f>
        <v>26.374732958746634</v>
      </c>
      <c r="I67">
        <f t="shared" si="4"/>
        <v>808369081378.48218</v>
      </c>
      <c r="J67" s="6">
        <v>0.12</v>
      </c>
      <c r="K67" s="5">
        <f t="shared" ref="K67:K130" si="7">D67/C67</f>
        <v>0.23803776602835752</v>
      </c>
      <c r="L67" s="7"/>
    </row>
    <row r="68" spans="1:12" x14ac:dyDescent="0.25">
      <c r="A68" t="s">
        <v>4</v>
      </c>
      <c r="B68">
        <v>2018</v>
      </c>
      <c r="C68">
        <v>482317238512.93182</v>
      </c>
      <c r="D68">
        <v>116079941390.58899</v>
      </c>
      <c r="E68">
        <v>11427054</v>
      </c>
      <c r="F68" s="4">
        <v>1580</v>
      </c>
      <c r="G68">
        <f t="shared" si="5"/>
        <v>18054745320</v>
      </c>
      <c r="H68">
        <f t="shared" si="6"/>
        <v>26.714153534951766</v>
      </c>
      <c r="I68">
        <f t="shared" si="4"/>
        <v>827444733003.65332</v>
      </c>
      <c r="J68" s="6">
        <v>0.12</v>
      </c>
      <c r="K68" s="5">
        <f t="shared" si="7"/>
        <v>0.24067135097323847</v>
      </c>
      <c r="L68" s="7"/>
    </row>
    <row r="69" spans="1:12" x14ac:dyDescent="0.25">
      <c r="A69" t="s">
        <v>4</v>
      </c>
      <c r="B69">
        <v>2019</v>
      </c>
      <c r="C69">
        <v>494099718421.51422</v>
      </c>
      <c r="D69">
        <v>121222240727.23274</v>
      </c>
      <c r="E69">
        <v>11488980</v>
      </c>
      <c r="F69" s="4">
        <v>1577</v>
      </c>
      <c r="G69">
        <f t="shared" si="5"/>
        <v>18118121460</v>
      </c>
      <c r="H69">
        <f t="shared" si="6"/>
        <v>27.271023627496657</v>
      </c>
      <c r="I69">
        <f t="shared" si="4"/>
        <v>849373605770.44775</v>
      </c>
      <c r="J69" s="6">
        <v>0.12</v>
      </c>
      <c r="K69" s="5">
        <f t="shared" si="7"/>
        <v>0.24533962722038752</v>
      </c>
      <c r="L69" s="7"/>
    </row>
    <row r="70" spans="1:12" x14ac:dyDescent="0.25">
      <c r="A70" t="s">
        <v>4</v>
      </c>
      <c r="B70">
        <v>2020</v>
      </c>
      <c r="C70">
        <v>470417598481.15094</v>
      </c>
      <c r="D70">
        <v>115043533194.81438</v>
      </c>
      <c r="E70">
        <v>11538604</v>
      </c>
      <c r="F70" s="4">
        <v>1446</v>
      </c>
      <c r="G70">
        <f t="shared" si="5"/>
        <v>16684821384</v>
      </c>
      <c r="H70">
        <f t="shared" si="6"/>
        <v>28.19434428781242</v>
      </c>
      <c r="I70">
        <f t="shared" si="4"/>
        <v>862492306272.80835</v>
      </c>
      <c r="J70" s="6">
        <v>0.12</v>
      </c>
      <c r="K70" s="5">
        <f t="shared" si="7"/>
        <v>0.244556184900944</v>
      </c>
      <c r="L70" s="7"/>
    </row>
    <row r="71" spans="1:12" x14ac:dyDescent="0.25">
      <c r="A71" t="s">
        <v>4</v>
      </c>
      <c r="B71">
        <v>2021</v>
      </c>
      <c r="C71">
        <v>499595504127.05951</v>
      </c>
      <c r="D71">
        <v>120013562902.98235</v>
      </c>
      <c r="E71">
        <v>11586195</v>
      </c>
      <c r="F71" s="4">
        <v>1530</v>
      </c>
      <c r="G71">
        <f t="shared" si="5"/>
        <v>17726878350</v>
      </c>
      <c r="H71">
        <f t="shared" si="6"/>
        <v>28.182937472860782</v>
      </c>
      <c r="I71">
        <f t="shared" si="4"/>
        <v>879006792423.05359</v>
      </c>
      <c r="J71" s="6">
        <v>0.12</v>
      </c>
      <c r="K71" s="5">
        <f t="shared" si="7"/>
        <v>0.24022146298670438</v>
      </c>
      <c r="L71" s="7"/>
    </row>
    <row r="72" spans="1:12" x14ac:dyDescent="0.25">
      <c r="A72" t="s">
        <v>4</v>
      </c>
      <c r="B72">
        <v>2022</v>
      </c>
      <c r="C72">
        <v>520745539238.46692</v>
      </c>
      <c r="D72">
        <v>122075437278.40422</v>
      </c>
      <c r="E72">
        <v>11680210</v>
      </c>
      <c r="F72" s="4">
        <v>1535</v>
      </c>
      <c r="G72">
        <f t="shared" si="5"/>
        <v>17929122350</v>
      </c>
      <c r="H72">
        <f t="shared" si="6"/>
        <v>29.044675420962083</v>
      </c>
      <c r="I72">
        <f t="shared" si="4"/>
        <v>895601414610.69128</v>
      </c>
      <c r="J72" s="6">
        <v>0.12</v>
      </c>
      <c r="K72" s="5">
        <f t="shared" si="7"/>
        <v>0.2344243552367748</v>
      </c>
      <c r="L72" s="7"/>
    </row>
    <row r="73" spans="1:12" x14ac:dyDescent="0.25">
      <c r="A73" t="s">
        <v>5</v>
      </c>
      <c r="B73">
        <v>1980</v>
      </c>
      <c r="C73">
        <v>677180907601.95337</v>
      </c>
      <c r="D73">
        <v>135167765737.49687</v>
      </c>
      <c r="E73">
        <v>24515667</v>
      </c>
      <c r="F73" s="4">
        <v>1827</v>
      </c>
      <c r="G73">
        <f t="shared" si="5"/>
        <v>44790123609</v>
      </c>
      <c r="H73">
        <f t="shared" si="6"/>
        <v>15.118978315699101</v>
      </c>
      <c r="I73">
        <f>D73</f>
        <v>135167765737.49687</v>
      </c>
      <c r="J73" s="6">
        <v>0.12</v>
      </c>
      <c r="K73" s="5">
        <f t="shared" si="7"/>
        <v>0.19960362765712886</v>
      </c>
      <c r="L73" s="7"/>
    </row>
    <row r="74" spans="1:12" x14ac:dyDescent="0.25">
      <c r="A74" t="s">
        <v>5</v>
      </c>
      <c r="B74">
        <v>1981</v>
      </c>
      <c r="C74">
        <v>700307077493.49207</v>
      </c>
      <c r="D74">
        <v>147443424448.46365</v>
      </c>
      <c r="E74">
        <v>24819915</v>
      </c>
      <c r="F74" s="4">
        <v>1812</v>
      </c>
      <c r="G74">
        <f t="shared" si="5"/>
        <v>44973685980</v>
      </c>
      <c r="H74">
        <f t="shared" si="6"/>
        <v>15.571485019149236</v>
      </c>
      <c r="I74">
        <f>I73-(I73*J73)+D74</f>
        <v>266391058297.46091</v>
      </c>
      <c r="J74" s="6">
        <v>0.12</v>
      </c>
      <c r="K74" s="5">
        <f t="shared" si="7"/>
        <v>0.21054110287759278</v>
      </c>
      <c r="L74" s="7"/>
    </row>
    <row r="75" spans="1:12" x14ac:dyDescent="0.25">
      <c r="A75" t="s">
        <v>5</v>
      </c>
      <c r="B75">
        <v>1982</v>
      </c>
      <c r="C75">
        <v>678134303092.57056</v>
      </c>
      <c r="D75">
        <v>131554543302.89435</v>
      </c>
      <c r="E75">
        <v>25116942</v>
      </c>
      <c r="F75" s="4">
        <v>1789</v>
      </c>
      <c r="G75">
        <f t="shared" si="5"/>
        <v>44934209238</v>
      </c>
      <c r="H75">
        <f t="shared" si="6"/>
        <v>15.091715523483284</v>
      </c>
      <c r="I75">
        <f t="shared" ref="I75:I115" si="8">I74-(I74*J74)+D75</f>
        <v>365978674604.65991</v>
      </c>
      <c r="J75" s="6">
        <v>0.12</v>
      </c>
      <c r="K75" s="5">
        <f t="shared" si="7"/>
        <v>0.19399482182651973</v>
      </c>
      <c r="L75" s="7"/>
    </row>
    <row r="76" spans="1:12" x14ac:dyDescent="0.25">
      <c r="A76" t="s">
        <v>5</v>
      </c>
      <c r="B76">
        <v>1983</v>
      </c>
      <c r="C76">
        <v>695509823673.7312</v>
      </c>
      <c r="D76">
        <v>130619426864.65808</v>
      </c>
      <c r="E76">
        <v>25366451</v>
      </c>
      <c r="F76" s="4">
        <v>1779</v>
      </c>
      <c r="G76">
        <f t="shared" si="5"/>
        <v>45126916329</v>
      </c>
      <c r="H76">
        <f t="shared" si="6"/>
        <v>15.412305565110691</v>
      </c>
      <c r="I76">
        <f t="shared" si="8"/>
        <v>452680660516.75879</v>
      </c>
      <c r="J76" s="6">
        <v>0.12</v>
      </c>
      <c r="K76" s="5">
        <f t="shared" si="7"/>
        <v>0.18780385613350103</v>
      </c>
      <c r="L76" s="7"/>
    </row>
    <row r="77" spans="1:12" x14ac:dyDescent="0.25">
      <c r="A77" t="s">
        <v>5</v>
      </c>
      <c r="B77">
        <v>1984</v>
      </c>
      <c r="C77">
        <v>736534953481.40479</v>
      </c>
      <c r="D77">
        <v>133450750810.54906</v>
      </c>
      <c r="E77">
        <v>25607053</v>
      </c>
      <c r="F77" s="4">
        <v>1789</v>
      </c>
      <c r="G77">
        <f t="shared" si="5"/>
        <v>45811017817</v>
      </c>
      <c r="H77">
        <f t="shared" si="6"/>
        <v>16.077681496264077</v>
      </c>
      <c r="I77">
        <f t="shared" si="8"/>
        <v>531809732065.29681</v>
      </c>
      <c r="J77" s="6">
        <v>0.12</v>
      </c>
      <c r="K77" s="5">
        <f t="shared" si="7"/>
        <v>0.18118726094364274</v>
      </c>
      <c r="L77" s="7"/>
    </row>
    <row r="78" spans="1:12" x14ac:dyDescent="0.25">
      <c r="A78" t="s">
        <v>5</v>
      </c>
      <c r="B78">
        <v>1985</v>
      </c>
      <c r="C78">
        <v>771429628504.86682</v>
      </c>
      <c r="D78">
        <v>144780941079.19751</v>
      </c>
      <c r="E78">
        <v>25842116</v>
      </c>
      <c r="F78" s="4">
        <v>1795</v>
      </c>
      <c r="G78">
        <f t="shared" si="5"/>
        <v>46386598220</v>
      </c>
      <c r="H78">
        <f t="shared" si="6"/>
        <v>16.630441940281319</v>
      </c>
      <c r="I78">
        <f t="shared" si="8"/>
        <v>612773505296.65869</v>
      </c>
      <c r="J78" s="6">
        <v>0.12</v>
      </c>
      <c r="K78" s="5">
        <f t="shared" si="7"/>
        <v>0.18767874052206449</v>
      </c>
      <c r="L78" s="7"/>
    </row>
    <row r="79" spans="1:12" x14ac:dyDescent="0.25">
      <c r="A79" t="s">
        <v>5</v>
      </c>
      <c r="B79">
        <v>1986</v>
      </c>
      <c r="C79">
        <v>787795360275.09192</v>
      </c>
      <c r="D79">
        <v>150514362333.83197</v>
      </c>
      <c r="E79">
        <v>26100278</v>
      </c>
      <c r="F79" s="4">
        <v>1797</v>
      </c>
      <c r="G79">
        <f t="shared" si="5"/>
        <v>46902199566</v>
      </c>
      <c r="H79">
        <f t="shared" si="6"/>
        <v>16.79655469391194</v>
      </c>
      <c r="I79">
        <f t="shared" si="8"/>
        <v>689755046994.8916</v>
      </c>
      <c r="J79" s="6">
        <v>0.12</v>
      </c>
      <c r="K79" s="5">
        <f t="shared" si="7"/>
        <v>0.19105769077044774</v>
      </c>
      <c r="L79" s="7"/>
    </row>
    <row r="80" spans="1:12" x14ac:dyDescent="0.25">
      <c r="A80" t="s">
        <v>5</v>
      </c>
      <c r="B80">
        <v>1987</v>
      </c>
      <c r="C80">
        <v>819874511491.84399</v>
      </c>
      <c r="D80">
        <v>164173119325.79797</v>
      </c>
      <c r="E80">
        <v>26446601</v>
      </c>
      <c r="F80" s="4">
        <v>1807</v>
      </c>
      <c r="G80">
        <f t="shared" si="5"/>
        <v>47789008007</v>
      </c>
      <c r="H80">
        <f t="shared" si="6"/>
        <v>17.156131622814833</v>
      </c>
      <c r="I80">
        <f t="shared" si="8"/>
        <v>771157560681.30261</v>
      </c>
      <c r="J80" s="6">
        <v>0.12</v>
      </c>
      <c r="K80" s="5">
        <f t="shared" si="7"/>
        <v>0.20024176508069327</v>
      </c>
      <c r="L80" s="7"/>
    </row>
    <row r="81" spans="1:12" x14ac:dyDescent="0.25">
      <c r="A81" t="s">
        <v>5</v>
      </c>
      <c r="B81">
        <v>1988</v>
      </c>
      <c r="C81">
        <v>856037856755.4137</v>
      </c>
      <c r="D81">
        <v>179156435493.64322</v>
      </c>
      <c r="E81">
        <v>26791747</v>
      </c>
      <c r="F81" s="4">
        <v>1808</v>
      </c>
      <c r="G81">
        <f t="shared" si="5"/>
        <v>48439478576</v>
      </c>
      <c r="H81">
        <f t="shared" si="6"/>
        <v>17.672317744137512</v>
      </c>
      <c r="I81">
        <f t="shared" si="8"/>
        <v>857775088893.18945</v>
      </c>
      <c r="J81" s="6">
        <v>0.12</v>
      </c>
      <c r="K81" s="5">
        <f t="shared" si="7"/>
        <v>0.20928564558194723</v>
      </c>
      <c r="L81" s="7"/>
    </row>
    <row r="82" spans="1:12" x14ac:dyDescent="0.25">
      <c r="A82" t="s">
        <v>5</v>
      </c>
      <c r="B82">
        <v>1989</v>
      </c>
      <c r="C82">
        <v>876046284221.59888</v>
      </c>
      <c r="D82">
        <v>188390707779.75388</v>
      </c>
      <c r="E82">
        <v>27276781</v>
      </c>
      <c r="F82" s="4">
        <v>1802</v>
      </c>
      <c r="G82">
        <f t="shared" si="5"/>
        <v>49152759362</v>
      </c>
      <c r="H82">
        <f t="shared" si="6"/>
        <v>17.822931928799715</v>
      </c>
      <c r="I82">
        <f t="shared" si="8"/>
        <v>943232786005.76062</v>
      </c>
      <c r="J82" s="6">
        <v>0.12</v>
      </c>
      <c r="K82" s="5">
        <f t="shared" si="7"/>
        <v>0.21504652342329872</v>
      </c>
      <c r="L82" s="7"/>
    </row>
    <row r="83" spans="1:12" x14ac:dyDescent="0.25">
      <c r="A83" t="s">
        <v>5</v>
      </c>
      <c r="B83">
        <v>1990</v>
      </c>
      <c r="C83">
        <v>877824201432.1178</v>
      </c>
      <c r="D83">
        <v>181839059837.16055</v>
      </c>
      <c r="E83">
        <v>27691138</v>
      </c>
      <c r="F83" s="4">
        <v>1797</v>
      </c>
      <c r="G83">
        <f t="shared" si="5"/>
        <v>49760974986</v>
      </c>
      <c r="H83">
        <f t="shared" si="6"/>
        <v>17.640815954251082</v>
      </c>
      <c r="I83">
        <f t="shared" si="8"/>
        <v>1011883911522.2299</v>
      </c>
      <c r="J83" s="6">
        <v>0.12</v>
      </c>
      <c r="K83" s="5">
        <f t="shared" si="7"/>
        <v>0.20714746704465539</v>
      </c>
      <c r="L83" s="7"/>
    </row>
    <row r="84" spans="1:12" x14ac:dyDescent="0.25">
      <c r="A84" t="s">
        <v>5</v>
      </c>
      <c r="B84">
        <v>1991</v>
      </c>
      <c r="C84">
        <v>859468413002.86328</v>
      </c>
      <c r="D84">
        <v>174159361720.18295</v>
      </c>
      <c r="E84">
        <v>28037420</v>
      </c>
      <c r="F84" s="4">
        <v>1775</v>
      </c>
      <c r="G84">
        <f t="shared" si="5"/>
        <v>49766420500</v>
      </c>
      <c r="H84">
        <f t="shared" si="6"/>
        <v>17.270046838165975</v>
      </c>
      <c r="I84">
        <f t="shared" si="8"/>
        <v>1064617203859.7452</v>
      </c>
      <c r="J84" s="6">
        <v>0.12</v>
      </c>
      <c r="K84" s="5">
        <f t="shared" si="7"/>
        <v>0.20263614006673536</v>
      </c>
      <c r="L84" s="7"/>
    </row>
    <row r="85" spans="1:12" x14ac:dyDescent="0.25">
      <c r="A85" t="s">
        <v>5</v>
      </c>
      <c r="B85">
        <v>1992</v>
      </c>
      <c r="C85">
        <v>867121689189.49463</v>
      </c>
      <c r="D85">
        <v>169040127573.42722</v>
      </c>
      <c r="E85">
        <v>28371264</v>
      </c>
      <c r="F85" s="4">
        <v>1772</v>
      </c>
      <c r="G85">
        <f t="shared" si="5"/>
        <v>50273879808</v>
      </c>
      <c r="H85">
        <f t="shared" si="6"/>
        <v>17.247956443805457</v>
      </c>
      <c r="I85">
        <f t="shared" si="8"/>
        <v>1105903266970.0029</v>
      </c>
      <c r="J85" s="6">
        <v>0.12</v>
      </c>
      <c r="K85" s="5">
        <f t="shared" si="7"/>
        <v>0.19494395040611928</v>
      </c>
      <c r="L85" s="7"/>
    </row>
    <row r="86" spans="1:12" x14ac:dyDescent="0.25">
      <c r="A86" t="s">
        <v>5</v>
      </c>
      <c r="B86">
        <v>1993</v>
      </c>
      <c r="C86">
        <v>890167242008.60352</v>
      </c>
      <c r="D86">
        <v>167076911210.22101</v>
      </c>
      <c r="E86">
        <v>28684764</v>
      </c>
      <c r="F86" s="4">
        <v>1769</v>
      </c>
      <c r="G86">
        <f t="shared" si="5"/>
        <v>50743347516</v>
      </c>
      <c r="H86">
        <f t="shared" si="6"/>
        <v>17.542540758232846</v>
      </c>
      <c r="I86">
        <f t="shared" si="8"/>
        <v>1140271786143.8235</v>
      </c>
      <c r="J86" s="6">
        <v>0.12</v>
      </c>
      <c r="K86" s="5">
        <f t="shared" si="7"/>
        <v>0.18769159695567206</v>
      </c>
      <c r="L86" s="7"/>
    </row>
    <row r="87" spans="1:12" x14ac:dyDescent="0.25">
      <c r="A87" t="s">
        <v>5</v>
      </c>
      <c r="B87">
        <v>1994</v>
      </c>
      <c r="C87">
        <v>930171796213.96008</v>
      </c>
      <c r="D87">
        <v>178273270663.74591</v>
      </c>
      <c r="E87">
        <v>29000663</v>
      </c>
      <c r="F87" s="4">
        <v>1778</v>
      </c>
      <c r="G87">
        <f t="shared" si="5"/>
        <v>51563178814</v>
      </c>
      <c r="H87">
        <f t="shared" si="6"/>
        <v>18.039457954469782</v>
      </c>
      <c r="I87">
        <f t="shared" si="8"/>
        <v>1181712442470.3105</v>
      </c>
      <c r="J87" s="6">
        <v>0.12</v>
      </c>
      <c r="K87" s="5">
        <f t="shared" si="7"/>
        <v>0.19165628477380658</v>
      </c>
      <c r="L87" s="7"/>
    </row>
    <row r="88" spans="1:12" x14ac:dyDescent="0.25">
      <c r="A88" t="s">
        <v>5</v>
      </c>
      <c r="B88">
        <v>1995</v>
      </c>
      <c r="C88">
        <v>955122057570.81689</v>
      </c>
      <c r="D88">
        <v>175839483849.98752</v>
      </c>
      <c r="E88">
        <v>29302311</v>
      </c>
      <c r="F88" s="4">
        <v>1775</v>
      </c>
      <c r="G88">
        <f t="shared" si="5"/>
        <v>52011602025</v>
      </c>
      <c r="H88">
        <f t="shared" si="6"/>
        <v>18.363634658123509</v>
      </c>
      <c r="I88">
        <f t="shared" si="8"/>
        <v>1215746433223.8608</v>
      </c>
      <c r="J88" s="6">
        <v>0.12</v>
      </c>
      <c r="K88" s="5">
        <f t="shared" si="7"/>
        <v>0.18410158414433855</v>
      </c>
      <c r="L88" s="7"/>
    </row>
    <row r="89" spans="1:12" x14ac:dyDescent="0.25">
      <c r="A89" t="s">
        <v>5</v>
      </c>
      <c r="B89">
        <v>1996</v>
      </c>
      <c r="C89">
        <v>971253698607.85181</v>
      </c>
      <c r="D89">
        <v>185983837896.99023</v>
      </c>
      <c r="E89">
        <v>29610218</v>
      </c>
      <c r="F89" s="4">
        <v>1790</v>
      </c>
      <c r="G89">
        <f t="shared" si="5"/>
        <v>53002290220</v>
      </c>
      <c r="H89">
        <f t="shared" si="6"/>
        <v>18.324749639617586</v>
      </c>
      <c r="I89">
        <f t="shared" si="8"/>
        <v>1255840699133.9878</v>
      </c>
      <c r="J89" s="6">
        <v>0.12</v>
      </c>
      <c r="K89" s="5">
        <f t="shared" si="7"/>
        <v>0.19148842178266143</v>
      </c>
      <c r="L89" s="7"/>
    </row>
    <row r="90" spans="1:12" x14ac:dyDescent="0.25">
      <c r="A90" t="s">
        <v>5</v>
      </c>
      <c r="B90">
        <v>1997</v>
      </c>
      <c r="C90">
        <v>1012824977566.9785</v>
      </c>
      <c r="D90">
        <v>207707218960.40881</v>
      </c>
      <c r="E90">
        <v>29905948</v>
      </c>
      <c r="F90" s="4">
        <v>1802</v>
      </c>
      <c r="G90">
        <f t="shared" si="5"/>
        <v>53890518296</v>
      </c>
      <c r="H90">
        <f t="shared" si="6"/>
        <v>18.794122038387503</v>
      </c>
      <c r="I90">
        <f t="shared" si="8"/>
        <v>1312847034198.3179</v>
      </c>
      <c r="J90" s="6">
        <v>0.12</v>
      </c>
      <c r="K90" s="5">
        <f t="shared" si="7"/>
        <v>0.2050771096299045</v>
      </c>
      <c r="L90" s="7"/>
    </row>
    <row r="91" spans="1:12" x14ac:dyDescent="0.25">
      <c r="A91" t="s">
        <v>5</v>
      </c>
      <c r="B91">
        <v>1998</v>
      </c>
      <c r="C91">
        <v>1052253104690.2238</v>
      </c>
      <c r="D91">
        <v>214424696030.18445</v>
      </c>
      <c r="E91">
        <v>30155173</v>
      </c>
      <c r="F91" s="4">
        <v>1797</v>
      </c>
      <c r="G91">
        <f t="shared" si="5"/>
        <v>54188845881</v>
      </c>
      <c r="H91">
        <f t="shared" si="6"/>
        <v>19.418260115762507</v>
      </c>
      <c r="I91">
        <f t="shared" si="8"/>
        <v>1369730086124.7041</v>
      </c>
      <c r="J91" s="6">
        <v>0.12</v>
      </c>
      <c r="K91" s="5">
        <f t="shared" si="7"/>
        <v>0.20377672926259471</v>
      </c>
      <c r="L91" s="7"/>
    </row>
    <row r="92" spans="1:12" x14ac:dyDescent="0.25">
      <c r="A92" t="s">
        <v>5</v>
      </c>
      <c r="B92">
        <v>1999</v>
      </c>
      <c r="C92">
        <v>1106349473421.6594</v>
      </c>
      <c r="D92">
        <v>225430945519.03287</v>
      </c>
      <c r="E92">
        <v>30401286</v>
      </c>
      <c r="F92" s="4">
        <v>1795</v>
      </c>
      <c r="G92">
        <f t="shared" si="5"/>
        <v>54570308370</v>
      </c>
      <c r="H92">
        <f t="shared" si="6"/>
        <v>20.273835836153612</v>
      </c>
      <c r="I92">
        <f t="shared" si="8"/>
        <v>1430793421308.7727</v>
      </c>
      <c r="J92" s="6">
        <v>0.12</v>
      </c>
      <c r="K92" s="5">
        <f t="shared" si="7"/>
        <v>0.20376106369159458</v>
      </c>
      <c r="L92" s="7"/>
    </row>
    <row r="93" spans="1:12" x14ac:dyDescent="0.25">
      <c r="A93" t="s">
        <v>5</v>
      </c>
      <c r="B93">
        <v>2000</v>
      </c>
      <c r="C93">
        <v>1163199674646.7644</v>
      </c>
      <c r="D93">
        <v>236847343317.67145</v>
      </c>
      <c r="E93">
        <v>30685730</v>
      </c>
      <c r="F93" s="4">
        <v>1789</v>
      </c>
      <c r="G93">
        <f t="shared" si="5"/>
        <v>54896770970</v>
      </c>
      <c r="H93">
        <f t="shared" si="6"/>
        <v>21.188854172906272</v>
      </c>
      <c r="I93">
        <f t="shared" si="8"/>
        <v>1495945554069.3914</v>
      </c>
      <c r="J93" s="6">
        <v>0.12</v>
      </c>
      <c r="K93" s="5">
        <f t="shared" si="7"/>
        <v>0.20361709900718142</v>
      </c>
      <c r="L93" s="7"/>
    </row>
    <row r="94" spans="1:12" x14ac:dyDescent="0.25">
      <c r="A94" t="s">
        <v>5</v>
      </c>
      <c r="B94">
        <v>2001</v>
      </c>
      <c r="C94">
        <v>1185010810019.4507</v>
      </c>
      <c r="D94">
        <v>248260729666.86752</v>
      </c>
      <c r="E94">
        <v>31020855</v>
      </c>
      <c r="F94" s="4">
        <v>1775</v>
      </c>
      <c r="G94">
        <f t="shared" si="5"/>
        <v>55062017625</v>
      </c>
      <c r="H94">
        <f t="shared" si="6"/>
        <v>21.521383725710336</v>
      </c>
      <c r="I94">
        <f t="shared" si="8"/>
        <v>1564692817247.9319</v>
      </c>
      <c r="J94" s="6">
        <v>0.12</v>
      </c>
      <c r="K94" s="5">
        <f t="shared" si="7"/>
        <v>0.20950081431138387</v>
      </c>
      <c r="L94" s="7"/>
    </row>
    <row r="95" spans="1:12" x14ac:dyDescent="0.25">
      <c r="A95" t="s">
        <v>5</v>
      </c>
      <c r="B95">
        <v>2002</v>
      </c>
      <c r="C95">
        <v>1220552310131.9348</v>
      </c>
      <c r="D95">
        <v>250731032357.84421</v>
      </c>
      <c r="E95">
        <v>31359199</v>
      </c>
      <c r="F95" s="4">
        <v>1757</v>
      </c>
      <c r="G95">
        <f t="shared" si="5"/>
        <v>55098112643</v>
      </c>
      <c r="H95">
        <f t="shared" si="6"/>
        <v>22.152343366828578</v>
      </c>
      <c r="I95">
        <f t="shared" si="8"/>
        <v>1627660711536.0244</v>
      </c>
      <c r="J95" s="6">
        <v>0.12</v>
      </c>
      <c r="K95" s="5">
        <f t="shared" si="7"/>
        <v>0.20542424136720663</v>
      </c>
      <c r="L95" s="7"/>
    </row>
    <row r="96" spans="1:12" x14ac:dyDescent="0.25">
      <c r="A96" t="s">
        <v>5</v>
      </c>
      <c r="B96">
        <v>2003</v>
      </c>
      <c r="C96">
        <v>1242600185625.168</v>
      </c>
      <c r="D96">
        <v>263820776329.54379</v>
      </c>
      <c r="E96">
        <v>31642461</v>
      </c>
      <c r="F96" s="4">
        <v>1747</v>
      </c>
      <c r="G96">
        <f t="shared" si="5"/>
        <v>55279379367</v>
      </c>
      <c r="H96">
        <f t="shared" si="6"/>
        <v>22.478548056329302</v>
      </c>
      <c r="I96">
        <f t="shared" si="8"/>
        <v>1696162202481.2451</v>
      </c>
      <c r="J96" s="6">
        <v>0.12</v>
      </c>
      <c r="K96" s="5">
        <f t="shared" si="7"/>
        <v>0.21231348536843506</v>
      </c>
      <c r="L96" s="7"/>
    </row>
    <row r="97" spans="1:12" x14ac:dyDescent="0.25">
      <c r="A97" t="s">
        <v>5</v>
      </c>
      <c r="B97">
        <v>2004</v>
      </c>
      <c r="C97">
        <v>1281025904373.6858</v>
      </c>
      <c r="D97">
        <v>286071571590.96344</v>
      </c>
      <c r="E97">
        <v>31938807</v>
      </c>
      <c r="F97" s="4">
        <v>1757</v>
      </c>
      <c r="G97">
        <f t="shared" si="5"/>
        <v>56116483899</v>
      </c>
      <c r="H97">
        <f t="shared" si="6"/>
        <v>22.827978792814456</v>
      </c>
      <c r="I97">
        <f t="shared" si="8"/>
        <v>1778694309774.459</v>
      </c>
      <c r="J97" s="6">
        <v>0.12</v>
      </c>
      <c r="K97" s="5">
        <f t="shared" si="7"/>
        <v>0.22331443151481659</v>
      </c>
      <c r="L97" s="7"/>
    </row>
    <row r="98" spans="1:12" x14ac:dyDescent="0.25">
      <c r="A98" t="s">
        <v>5</v>
      </c>
      <c r="B98">
        <v>2005</v>
      </c>
      <c r="C98">
        <v>1322152656328.6985</v>
      </c>
      <c r="D98">
        <v>312174263272.62506</v>
      </c>
      <c r="E98">
        <v>32242732</v>
      </c>
      <c r="F98" s="4">
        <v>1747</v>
      </c>
      <c r="G98">
        <f t="shared" si="5"/>
        <v>56328052804</v>
      </c>
      <c r="H98">
        <f t="shared" si="6"/>
        <v>23.472365730966811</v>
      </c>
      <c r="I98">
        <f t="shared" si="8"/>
        <v>1877425255874.1489</v>
      </c>
      <c r="J98" s="6">
        <v>0.12</v>
      </c>
      <c r="K98" s="5">
        <f t="shared" si="7"/>
        <v>0.23611060476137324</v>
      </c>
      <c r="L98" s="7"/>
    </row>
    <row r="99" spans="1:12" x14ac:dyDescent="0.25">
      <c r="A99" t="s">
        <v>5</v>
      </c>
      <c r="B99">
        <v>2006</v>
      </c>
      <c r="C99">
        <v>1357030300358.2866</v>
      </c>
      <c r="D99">
        <v>331780833103.3877</v>
      </c>
      <c r="E99">
        <v>32571193</v>
      </c>
      <c r="F99" s="4">
        <v>1745</v>
      </c>
      <c r="G99">
        <f t="shared" si="5"/>
        <v>56836731785</v>
      </c>
      <c r="H99">
        <f t="shared" si="6"/>
        <v>23.875938283918458</v>
      </c>
      <c r="I99">
        <f t="shared" si="8"/>
        <v>1983915058272.6387</v>
      </c>
      <c r="J99" s="6">
        <v>0.12</v>
      </c>
      <c r="K99" s="5">
        <f t="shared" si="7"/>
        <v>0.24449036474409605</v>
      </c>
      <c r="L99" s="7"/>
    </row>
    <row r="100" spans="1:12" x14ac:dyDescent="0.25">
      <c r="A100" t="s">
        <v>5</v>
      </c>
      <c r="B100">
        <v>2007</v>
      </c>
      <c r="C100">
        <v>1384848127059.2202</v>
      </c>
      <c r="D100">
        <v>342289972130.6142</v>
      </c>
      <c r="E100">
        <v>32888886</v>
      </c>
      <c r="F100" s="4">
        <v>1745</v>
      </c>
      <c r="G100">
        <f t="shared" si="5"/>
        <v>57391106070</v>
      </c>
      <c r="H100">
        <f t="shared" si="6"/>
        <v>24.130012851993467</v>
      </c>
      <c r="I100">
        <f t="shared" si="8"/>
        <v>2088135223410.5364</v>
      </c>
      <c r="J100" s="6">
        <v>0.12</v>
      </c>
      <c r="K100" s="5">
        <f t="shared" si="7"/>
        <v>0.24716787743178778</v>
      </c>
      <c r="L100" s="7"/>
    </row>
    <row r="101" spans="1:12" x14ac:dyDescent="0.25">
      <c r="A101" t="s">
        <v>5</v>
      </c>
      <c r="B101">
        <v>2008</v>
      </c>
      <c r="C101">
        <v>1398632992699.7959</v>
      </c>
      <c r="D101">
        <v>347856624304.22845</v>
      </c>
      <c r="E101">
        <v>33247298</v>
      </c>
      <c r="F101" s="4">
        <v>1742</v>
      </c>
      <c r="G101">
        <f t="shared" si="5"/>
        <v>57916793116</v>
      </c>
      <c r="H101">
        <f t="shared" si="6"/>
        <v>24.149006142286076</v>
      </c>
      <c r="I101">
        <f t="shared" si="8"/>
        <v>2185415620905.5005</v>
      </c>
      <c r="J101" s="6">
        <v>0.12</v>
      </c>
      <c r="K101" s="5">
        <f t="shared" si="7"/>
        <v>0.24871186803105308</v>
      </c>
      <c r="L101" s="7"/>
    </row>
    <row r="102" spans="1:12" x14ac:dyDescent="0.25">
      <c r="A102" t="s">
        <v>5</v>
      </c>
      <c r="B102">
        <v>2009</v>
      </c>
      <c r="C102">
        <v>1357861634788.5347</v>
      </c>
      <c r="D102">
        <v>308497984167.74304</v>
      </c>
      <c r="E102">
        <v>33630069</v>
      </c>
      <c r="F102" s="4">
        <v>1710</v>
      </c>
      <c r="G102">
        <f t="shared" si="5"/>
        <v>57507417990</v>
      </c>
      <c r="H102">
        <f t="shared" si="6"/>
        <v>23.611938811522613</v>
      </c>
      <c r="I102">
        <f t="shared" si="8"/>
        <v>2231663730564.5835</v>
      </c>
      <c r="J102" s="6">
        <v>0.12</v>
      </c>
      <c r="K102" s="5">
        <f t="shared" si="7"/>
        <v>0.22719397636990216</v>
      </c>
      <c r="L102" s="7"/>
    </row>
    <row r="103" spans="1:12" x14ac:dyDescent="0.25">
      <c r="A103" t="s">
        <v>5</v>
      </c>
      <c r="B103">
        <v>2010</v>
      </c>
      <c r="C103">
        <v>1399830508747.1685</v>
      </c>
      <c r="D103">
        <v>344009999288.99609</v>
      </c>
      <c r="E103">
        <v>34005902</v>
      </c>
      <c r="F103" s="4">
        <v>1715</v>
      </c>
      <c r="G103">
        <f t="shared" si="5"/>
        <v>58320121930</v>
      </c>
      <c r="H103">
        <f t="shared" si="6"/>
        <v>24.002530557589463</v>
      </c>
      <c r="I103">
        <f t="shared" si="8"/>
        <v>2307874082185.8296</v>
      </c>
      <c r="J103" s="6">
        <v>0.12</v>
      </c>
      <c r="K103" s="5">
        <f t="shared" si="7"/>
        <v>0.24575117997455342</v>
      </c>
      <c r="L103" s="7"/>
    </row>
    <row r="104" spans="1:12" x14ac:dyDescent="0.25">
      <c r="A104" t="s">
        <v>5</v>
      </c>
      <c r="B104">
        <v>2011</v>
      </c>
      <c r="C104">
        <v>1443745912933.406</v>
      </c>
      <c r="D104">
        <v>359963818576.50391</v>
      </c>
      <c r="E104">
        <v>34339221</v>
      </c>
      <c r="F104" s="4">
        <v>1711</v>
      </c>
      <c r="G104">
        <f t="shared" si="5"/>
        <v>58754407131</v>
      </c>
      <c r="H104">
        <f t="shared" si="6"/>
        <v>24.572555207891064</v>
      </c>
      <c r="I104">
        <f t="shared" si="8"/>
        <v>2390893010900.0342</v>
      </c>
      <c r="J104" s="6">
        <v>0.12</v>
      </c>
      <c r="K104" s="5">
        <f t="shared" si="7"/>
        <v>0.24932629443440546</v>
      </c>
      <c r="L104" s="7"/>
    </row>
    <row r="105" spans="1:12" x14ac:dyDescent="0.25">
      <c r="A105" t="s">
        <v>5</v>
      </c>
      <c r="B105">
        <v>2012</v>
      </c>
      <c r="C105">
        <v>1469093201563.9077</v>
      </c>
      <c r="D105">
        <v>377552208986.27887</v>
      </c>
      <c r="E105">
        <v>34713395</v>
      </c>
      <c r="F105" s="4">
        <v>1721</v>
      </c>
      <c r="G105">
        <f t="shared" si="5"/>
        <v>59741752795</v>
      </c>
      <c r="H105">
        <f t="shared" si="6"/>
        <v>24.590728139581156</v>
      </c>
      <c r="I105">
        <f t="shared" si="8"/>
        <v>2481538058578.3091</v>
      </c>
      <c r="J105" s="6">
        <v>0.12</v>
      </c>
      <c r="K105" s="5">
        <f t="shared" si="7"/>
        <v>0.25699677092260698</v>
      </c>
      <c r="L105" s="7"/>
    </row>
    <row r="106" spans="1:12" x14ac:dyDescent="0.25">
      <c r="A106" t="s">
        <v>5</v>
      </c>
      <c r="B106">
        <v>2013</v>
      </c>
      <c r="C106">
        <v>1503261570659.634</v>
      </c>
      <c r="D106">
        <v>383022487739.80878</v>
      </c>
      <c r="E106">
        <v>35080992</v>
      </c>
      <c r="F106" s="4">
        <v>1714</v>
      </c>
      <c r="G106">
        <f t="shared" si="5"/>
        <v>60128820288</v>
      </c>
      <c r="H106">
        <f t="shared" si="6"/>
        <v>25.000682924751182</v>
      </c>
      <c r="I106">
        <f t="shared" si="8"/>
        <v>2566775979288.7207</v>
      </c>
      <c r="J106" s="6">
        <v>0.12</v>
      </c>
      <c r="K106" s="5">
        <f t="shared" si="7"/>
        <v>0.25479430540603643</v>
      </c>
      <c r="L106" s="7"/>
    </row>
    <row r="107" spans="1:12" x14ac:dyDescent="0.25">
      <c r="A107" t="s">
        <v>5</v>
      </c>
      <c r="B107">
        <v>2014</v>
      </c>
      <c r="C107">
        <v>1546457292386.5281</v>
      </c>
      <c r="D107">
        <v>391640690664.3902</v>
      </c>
      <c r="E107">
        <v>35434066</v>
      </c>
      <c r="F107" s="4">
        <v>1709</v>
      </c>
      <c r="G107">
        <f t="shared" si="5"/>
        <v>60556818794</v>
      </c>
      <c r="H107">
        <f t="shared" si="6"/>
        <v>25.537294117896295</v>
      </c>
      <c r="I107">
        <f t="shared" si="8"/>
        <v>2650403552438.4644</v>
      </c>
      <c r="J107" s="6">
        <v>0.12</v>
      </c>
      <c r="K107" s="5">
        <f t="shared" si="7"/>
        <v>0.25325024660719947</v>
      </c>
      <c r="L107" s="7"/>
    </row>
    <row r="108" spans="1:12" x14ac:dyDescent="0.25">
      <c r="A108" t="s">
        <v>5</v>
      </c>
      <c r="B108">
        <v>2015</v>
      </c>
      <c r="C108">
        <v>1556508816217.1401</v>
      </c>
      <c r="D108">
        <v>371236410475.86182</v>
      </c>
      <c r="E108">
        <v>35704498</v>
      </c>
      <c r="F108" s="4">
        <v>1710</v>
      </c>
      <c r="G108">
        <f t="shared" si="5"/>
        <v>61054691580</v>
      </c>
      <c r="H108">
        <f t="shared" si="6"/>
        <v>25.493680762888559</v>
      </c>
      <c r="I108">
        <f t="shared" si="8"/>
        <v>2703591536621.7104</v>
      </c>
      <c r="J108" s="6">
        <v>0.12</v>
      </c>
      <c r="K108" s="5">
        <f t="shared" si="7"/>
        <v>0.23850581931048481</v>
      </c>
      <c r="L108" s="7"/>
    </row>
    <row r="109" spans="1:12" x14ac:dyDescent="0.25">
      <c r="A109" t="s">
        <v>5</v>
      </c>
      <c r="B109">
        <v>2016</v>
      </c>
      <c r="C109">
        <v>1572673953080.0439</v>
      </c>
      <c r="D109">
        <v>353962171875.71771</v>
      </c>
      <c r="E109">
        <v>36110803</v>
      </c>
      <c r="F109" s="4">
        <v>1701</v>
      </c>
      <c r="G109">
        <f t="shared" si="5"/>
        <v>61424475903</v>
      </c>
      <c r="H109">
        <f t="shared" si="6"/>
        <v>25.6033760151828</v>
      </c>
      <c r="I109">
        <f t="shared" si="8"/>
        <v>2733122724102.8232</v>
      </c>
      <c r="J109" s="6">
        <v>0.12</v>
      </c>
      <c r="K109" s="5">
        <f t="shared" si="7"/>
        <v>0.22507028312034502</v>
      </c>
      <c r="L109" s="7"/>
    </row>
    <row r="110" spans="1:12" x14ac:dyDescent="0.25">
      <c r="A110" t="s">
        <v>5</v>
      </c>
      <c r="B110">
        <v>2017</v>
      </c>
      <c r="C110">
        <v>1620386284372.8096</v>
      </c>
      <c r="D110">
        <v>365799824610.07013</v>
      </c>
      <c r="E110">
        <v>36545075</v>
      </c>
      <c r="F110" s="4">
        <v>1689</v>
      </c>
      <c r="G110">
        <f t="shared" si="5"/>
        <v>61724631675</v>
      </c>
      <c r="H110">
        <f t="shared" si="6"/>
        <v>26.251858300340512</v>
      </c>
      <c r="I110">
        <f t="shared" si="8"/>
        <v>2770947821820.5547</v>
      </c>
      <c r="J110" s="6">
        <v>0.12</v>
      </c>
      <c r="K110" s="5">
        <f t="shared" si="7"/>
        <v>0.22574853177781459</v>
      </c>
      <c r="L110" s="7"/>
    </row>
    <row r="111" spans="1:12" x14ac:dyDescent="0.25">
      <c r="A111" t="s">
        <v>5</v>
      </c>
      <c r="B111">
        <v>2018</v>
      </c>
      <c r="C111">
        <v>1664832887596.1296</v>
      </c>
      <c r="D111">
        <v>374445131361.62573</v>
      </c>
      <c r="E111">
        <v>37072620</v>
      </c>
      <c r="F111" s="4">
        <v>1702</v>
      </c>
      <c r="G111">
        <f t="shared" si="5"/>
        <v>63097599240</v>
      </c>
      <c r="H111">
        <f t="shared" si="6"/>
        <v>26.385043292435252</v>
      </c>
      <c r="I111">
        <f t="shared" si="8"/>
        <v>2812879214563.7139</v>
      </c>
      <c r="J111" s="6">
        <v>0.12</v>
      </c>
      <c r="K111" s="5">
        <f t="shared" si="7"/>
        <v>0.22491454496810856</v>
      </c>
      <c r="L111" s="7"/>
    </row>
    <row r="112" spans="1:12" x14ac:dyDescent="0.25">
      <c r="A112" t="s">
        <v>5</v>
      </c>
      <c r="B112">
        <v>2019</v>
      </c>
      <c r="C112">
        <v>1696605089927.3782</v>
      </c>
      <c r="D112">
        <v>377352875431.32074</v>
      </c>
      <c r="E112">
        <v>37618495</v>
      </c>
      <c r="F112" s="4">
        <v>1691</v>
      </c>
      <c r="G112">
        <f t="shared" si="5"/>
        <v>63612875045</v>
      </c>
      <c r="H112">
        <f t="shared" si="6"/>
        <v>26.670781484521694</v>
      </c>
      <c r="I112">
        <f t="shared" si="8"/>
        <v>2852686584247.3892</v>
      </c>
      <c r="J112" s="6">
        <v>0.12</v>
      </c>
      <c r="K112" s="5">
        <f t="shared" si="7"/>
        <v>0.22241644662723076</v>
      </c>
      <c r="L112" s="7"/>
    </row>
    <row r="113" spans="1:12" x14ac:dyDescent="0.25">
      <c r="A113" t="s">
        <v>5</v>
      </c>
      <c r="B113">
        <v>2020</v>
      </c>
      <c r="C113">
        <v>1611126164920.1387</v>
      </c>
      <c r="D113">
        <v>363144870255.40601</v>
      </c>
      <c r="E113">
        <v>38028638</v>
      </c>
      <c r="F113" s="4">
        <v>1653</v>
      </c>
      <c r="G113">
        <f t="shared" si="5"/>
        <v>62861338614</v>
      </c>
      <c r="H113">
        <f t="shared" si="6"/>
        <v>25.629841814429973</v>
      </c>
      <c r="I113">
        <f t="shared" si="8"/>
        <v>2873509064393.1084</v>
      </c>
      <c r="J113" s="6">
        <v>0.12</v>
      </c>
      <c r="K113" s="5">
        <f t="shared" si="7"/>
        <v>0.22539815823387524</v>
      </c>
      <c r="L113" s="7"/>
    </row>
    <row r="114" spans="1:12" x14ac:dyDescent="0.25">
      <c r="A114" t="s">
        <v>5</v>
      </c>
      <c r="B114">
        <v>2021</v>
      </c>
      <c r="C114">
        <v>1696305710720.0371</v>
      </c>
      <c r="D114">
        <v>396921235591.17712</v>
      </c>
      <c r="E114">
        <v>38239864</v>
      </c>
      <c r="F114" s="4">
        <v>1685</v>
      </c>
      <c r="G114">
        <f t="shared" si="5"/>
        <v>64434170840</v>
      </c>
      <c r="H114">
        <f t="shared" si="6"/>
        <v>26.32618203363284</v>
      </c>
      <c r="I114">
        <f t="shared" si="8"/>
        <v>2925609212257.1128</v>
      </c>
      <c r="J114" s="6">
        <v>0.12</v>
      </c>
      <c r="K114" s="5">
        <f t="shared" si="7"/>
        <v>0.23399156949291558</v>
      </c>
      <c r="L114" s="7"/>
    </row>
    <row r="115" spans="1:12" x14ac:dyDescent="0.25">
      <c r="A115" t="s">
        <v>5</v>
      </c>
      <c r="B115">
        <v>2022</v>
      </c>
      <c r="C115">
        <v>1761102321572.6389</v>
      </c>
      <c r="D115">
        <v>387582497054.47565</v>
      </c>
      <c r="E115">
        <v>38939056</v>
      </c>
      <c r="F115" s="4">
        <v>1686</v>
      </c>
      <c r="G115">
        <f t="shared" si="5"/>
        <v>65651248416</v>
      </c>
      <c r="H115">
        <f t="shared" si="6"/>
        <v>26.825115501435569</v>
      </c>
      <c r="I115">
        <f t="shared" si="8"/>
        <v>2962118603840.7349</v>
      </c>
      <c r="J115" s="6">
        <v>0.12</v>
      </c>
      <c r="K115" s="5">
        <f t="shared" si="7"/>
        <v>0.22007948789049922</v>
      </c>
      <c r="L115" s="7"/>
    </row>
    <row r="116" spans="1:12" x14ac:dyDescent="0.25">
      <c r="A116" t="s">
        <v>6</v>
      </c>
      <c r="B116">
        <v>1980</v>
      </c>
      <c r="C116">
        <v>162635188839.13806</v>
      </c>
      <c r="D116">
        <v>24880873531.321922</v>
      </c>
      <c r="E116">
        <v>5123027</v>
      </c>
      <c r="F116" s="4">
        <v>1577</v>
      </c>
      <c r="G116">
        <f t="shared" si="5"/>
        <v>8079013579</v>
      </c>
      <c r="H116">
        <f t="shared" si="6"/>
        <v>20.130575007557869</v>
      </c>
      <c r="I116">
        <f>D116</f>
        <v>24880873531.321922</v>
      </c>
      <c r="J116" s="6">
        <v>0.12</v>
      </c>
      <c r="K116" s="5">
        <f t="shared" si="7"/>
        <v>0.15298579421167896</v>
      </c>
      <c r="L116" s="7"/>
    </row>
    <row r="117" spans="1:12" x14ac:dyDescent="0.25">
      <c r="A117" t="s">
        <v>6</v>
      </c>
      <c r="B117">
        <v>1981</v>
      </c>
      <c r="C117">
        <v>161430084160.47565</v>
      </c>
      <c r="D117">
        <v>20754413742.839554</v>
      </c>
      <c r="E117">
        <v>5121572</v>
      </c>
      <c r="F117" s="4">
        <v>1546</v>
      </c>
      <c r="G117">
        <f t="shared" si="5"/>
        <v>7917950312</v>
      </c>
      <c r="H117">
        <f t="shared" si="6"/>
        <v>20.387862742182318</v>
      </c>
      <c r="I117">
        <f>I116-(I116*J116)+D117</f>
        <v>42649582450.402847</v>
      </c>
      <c r="J117" s="6">
        <v>0.12</v>
      </c>
      <c r="K117" s="5">
        <f t="shared" si="7"/>
        <v>0.12856595999917741</v>
      </c>
      <c r="L117" s="7"/>
    </row>
    <row r="118" spans="1:12" x14ac:dyDescent="0.25">
      <c r="A118" t="s">
        <v>6</v>
      </c>
      <c r="B118">
        <v>1982</v>
      </c>
      <c r="C118">
        <v>167713124645.42468</v>
      </c>
      <c r="D118">
        <v>22516895640.603188</v>
      </c>
      <c r="E118">
        <v>5117810</v>
      </c>
      <c r="F118" s="4">
        <v>1553</v>
      </c>
      <c r="G118">
        <f t="shared" si="5"/>
        <v>7947958930</v>
      </c>
      <c r="H118">
        <f t="shared" si="6"/>
        <v>21.101408062437571</v>
      </c>
      <c r="I118">
        <f t="shared" ref="I118:I158" si="9">I117-(I117*J117)+D118</f>
        <v>60048528196.957695</v>
      </c>
      <c r="J118" s="6">
        <v>0.12</v>
      </c>
      <c r="K118" s="5">
        <f t="shared" si="7"/>
        <v>0.13425839920523752</v>
      </c>
      <c r="L118" s="7"/>
    </row>
    <row r="119" spans="1:12" x14ac:dyDescent="0.25">
      <c r="A119" t="s">
        <v>6</v>
      </c>
      <c r="B119">
        <v>1983</v>
      </c>
      <c r="C119">
        <v>172165579287.13504</v>
      </c>
      <c r="D119">
        <v>23522794677.212772</v>
      </c>
      <c r="E119">
        <v>5114297</v>
      </c>
      <c r="F119" s="4">
        <v>1546</v>
      </c>
      <c r="G119">
        <f t="shared" si="5"/>
        <v>7906703162</v>
      </c>
      <c r="H119">
        <f t="shared" si="6"/>
        <v>21.774635490879586</v>
      </c>
      <c r="I119">
        <f t="shared" si="9"/>
        <v>76365499490.535538</v>
      </c>
      <c r="J119" s="6">
        <v>0.12</v>
      </c>
      <c r="K119" s="5">
        <f t="shared" si="7"/>
        <v>0.13662890558386137</v>
      </c>
      <c r="L119" s="7"/>
    </row>
    <row r="120" spans="1:12" x14ac:dyDescent="0.25">
      <c r="A120" t="s">
        <v>6</v>
      </c>
      <c r="B120">
        <v>1984</v>
      </c>
      <c r="C120">
        <v>179636437796.38043</v>
      </c>
      <c r="D120">
        <v>25992766009.559265</v>
      </c>
      <c r="E120">
        <v>5111619</v>
      </c>
      <c r="F120" s="4">
        <v>1541</v>
      </c>
      <c r="G120">
        <f t="shared" si="5"/>
        <v>7877004879</v>
      </c>
      <c r="H120">
        <f t="shared" si="6"/>
        <v>22.805170309756821</v>
      </c>
      <c r="I120">
        <f t="shared" si="9"/>
        <v>93194405561.23053</v>
      </c>
      <c r="J120" s="6">
        <v>0.12</v>
      </c>
      <c r="K120" s="5">
        <f t="shared" si="7"/>
        <v>0.14469651217990809</v>
      </c>
      <c r="L120" s="7"/>
    </row>
    <row r="121" spans="1:12" x14ac:dyDescent="0.25">
      <c r="A121" t="s">
        <v>6</v>
      </c>
      <c r="B121">
        <v>1985</v>
      </c>
      <c r="C121">
        <v>187096889651.40842</v>
      </c>
      <c r="D121">
        <v>29633760395.220249</v>
      </c>
      <c r="E121">
        <v>5113691</v>
      </c>
      <c r="F121" s="4">
        <v>1527</v>
      </c>
      <c r="G121">
        <f t="shared" si="5"/>
        <v>7808606157</v>
      </c>
      <c r="H121">
        <f t="shared" si="6"/>
        <v>23.960343996051844</v>
      </c>
      <c r="I121">
        <f t="shared" si="9"/>
        <v>111644837289.10312</v>
      </c>
      <c r="J121" s="6">
        <v>0.12</v>
      </c>
      <c r="K121" s="5">
        <f t="shared" si="7"/>
        <v>0.1583872423022783</v>
      </c>
      <c r="L121" s="7"/>
    </row>
    <row r="122" spans="1:12" x14ac:dyDescent="0.25">
      <c r="A122" t="s">
        <v>6</v>
      </c>
      <c r="B122">
        <v>1986</v>
      </c>
      <c r="C122">
        <v>195952945255.9299</v>
      </c>
      <c r="D122">
        <v>34987555253.443619</v>
      </c>
      <c r="E122">
        <v>5120534</v>
      </c>
      <c r="F122" s="4">
        <v>1531</v>
      </c>
      <c r="G122">
        <f t="shared" si="5"/>
        <v>7839537554</v>
      </c>
      <c r="H122">
        <f t="shared" si="6"/>
        <v>24.995472488801077</v>
      </c>
      <c r="I122">
        <f t="shared" si="9"/>
        <v>133235012067.85437</v>
      </c>
      <c r="J122" s="6">
        <v>0.12</v>
      </c>
      <c r="K122" s="5">
        <f t="shared" si="7"/>
        <v>0.17855080059014744</v>
      </c>
      <c r="L122" s="7"/>
    </row>
    <row r="123" spans="1:12" x14ac:dyDescent="0.25">
      <c r="A123" t="s">
        <v>6</v>
      </c>
      <c r="B123">
        <v>1987</v>
      </c>
      <c r="C123">
        <v>196860120868.35199</v>
      </c>
      <c r="D123">
        <v>36050016607.211014</v>
      </c>
      <c r="E123">
        <v>5127024</v>
      </c>
      <c r="F123" s="4">
        <v>1493</v>
      </c>
      <c r="G123">
        <f t="shared" si="5"/>
        <v>7654646832</v>
      </c>
      <c r="H123">
        <f t="shared" si="6"/>
        <v>25.717727439153002</v>
      </c>
      <c r="I123">
        <f t="shared" si="9"/>
        <v>153296827226.92285</v>
      </c>
      <c r="J123" s="6">
        <v>0.12</v>
      </c>
      <c r="K123" s="5">
        <f t="shared" si="7"/>
        <v>0.18312503542207545</v>
      </c>
      <c r="L123" s="7"/>
    </row>
    <row r="124" spans="1:12" x14ac:dyDescent="0.25">
      <c r="A124" t="s">
        <v>6</v>
      </c>
      <c r="B124">
        <v>1988</v>
      </c>
      <c r="C124">
        <v>197397452774.1958</v>
      </c>
      <c r="D124">
        <v>34091943267.265285</v>
      </c>
      <c r="E124">
        <v>5129516</v>
      </c>
      <c r="F124" s="4">
        <v>1471</v>
      </c>
      <c r="G124">
        <f t="shared" si="5"/>
        <v>7545518036</v>
      </c>
      <c r="H124">
        <f t="shared" si="6"/>
        <v>26.160888070561072</v>
      </c>
      <c r="I124">
        <f t="shared" si="9"/>
        <v>168993151226.9574</v>
      </c>
      <c r="J124" s="6">
        <v>0.12</v>
      </c>
      <c r="K124" s="5">
        <f t="shared" si="7"/>
        <v>0.17270710836508754</v>
      </c>
      <c r="L124" s="7"/>
    </row>
    <row r="125" spans="1:12" x14ac:dyDescent="0.25">
      <c r="A125" t="s">
        <v>6</v>
      </c>
      <c r="B125">
        <v>1989</v>
      </c>
      <c r="C125">
        <v>198773654947.05142</v>
      </c>
      <c r="D125">
        <v>34814596556.306625</v>
      </c>
      <c r="E125">
        <v>5132594</v>
      </c>
      <c r="F125" s="4">
        <v>1455</v>
      </c>
      <c r="G125">
        <f t="shared" si="5"/>
        <v>7467924270</v>
      </c>
      <c r="H125">
        <f t="shared" si="6"/>
        <v>26.616988571450982</v>
      </c>
      <c r="I125">
        <f t="shared" si="9"/>
        <v>183528569636.02911</v>
      </c>
      <c r="J125" s="6">
        <v>0.12</v>
      </c>
      <c r="K125" s="5">
        <f t="shared" si="7"/>
        <v>0.17514693567203565</v>
      </c>
      <c r="L125" s="7"/>
    </row>
    <row r="126" spans="1:12" x14ac:dyDescent="0.25">
      <c r="A126" t="s">
        <v>6</v>
      </c>
      <c r="B126">
        <v>1990</v>
      </c>
      <c r="C126">
        <v>202073829809.27109</v>
      </c>
      <c r="D126">
        <v>34791196410.622734</v>
      </c>
      <c r="E126">
        <v>5140939</v>
      </c>
      <c r="F126" s="4">
        <v>1441</v>
      </c>
      <c r="G126">
        <f t="shared" si="5"/>
        <v>7408093099</v>
      </c>
      <c r="H126">
        <f t="shared" si="6"/>
        <v>27.27744199604464</v>
      </c>
      <c r="I126">
        <f t="shared" si="9"/>
        <v>196296337690.32837</v>
      </c>
      <c r="J126" s="6">
        <v>0.12</v>
      </c>
      <c r="K126" s="5">
        <f t="shared" si="7"/>
        <v>0.17217071821452914</v>
      </c>
      <c r="L126" s="7"/>
    </row>
    <row r="127" spans="1:12" x14ac:dyDescent="0.25">
      <c r="A127" t="s">
        <v>6</v>
      </c>
      <c r="B127">
        <v>1991</v>
      </c>
      <c r="C127">
        <v>205020430066.54312</v>
      </c>
      <c r="D127">
        <v>34004264437.16378</v>
      </c>
      <c r="E127">
        <v>5154298</v>
      </c>
      <c r="F127" s="4">
        <v>1437</v>
      </c>
      <c r="G127">
        <f t="shared" si="5"/>
        <v>7406726226</v>
      </c>
      <c r="H127">
        <f t="shared" si="6"/>
        <v>27.68030352557858</v>
      </c>
      <c r="I127">
        <f t="shared" si="9"/>
        <v>206745041604.65274</v>
      </c>
      <c r="J127" s="6">
        <v>0.12</v>
      </c>
      <c r="K127" s="5">
        <f t="shared" si="7"/>
        <v>0.165857931456524</v>
      </c>
      <c r="L127" s="7"/>
    </row>
    <row r="128" spans="1:12" x14ac:dyDescent="0.25">
      <c r="A128" t="s">
        <v>6</v>
      </c>
      <c r="B128">
        <v>1992</v>
      </c>
      <c r="C128">
        <v>209167606402.31055</v>
      </c>
      <c r="D128">
        <v>33891688710.568283</v>
      </c>
      <c r="E128">
        <v>5171370</v>
      </c>
      <c r="F128" s="4">
        <v>1452</v>
      </c>
      <c r="G128">
        <f t="shared" si="5"/>
        <v>7508829240</v>
      </c>
      <c r="H128">
        <f t="shared" si="6"/>
        <v>27.856220952270657</v>
      </c>
      <c r="I128">
        <f t="shared" si="9"/>
        <v>215827325322.66272</v>
      </c>
      <c r="J128" s="6">
        <v>0.12</v>
      </c>
      <c r="K128" s="5">
        <f t="shared" si="7"/>
        <v>0.16203124993160462</v>
      </c>
      <c r="L128" s="7"/>
    </row>
    <row r="129" spans="1:12" x14ac:dyDescent="0.25">
      <c r="A129" t="s">
        <v>6</v>
      </c>
      <c r="B129">
        <v>1993</v>
      </c>
      <c r="C129">
        <v>209002572309.56195</v>
      </c>
      <c r="D129">
        <v>32968962644.992867</v>
      </c>
      <c r="E129">
        <v>5188628</v>
      </c>
      <c r="F129" s="4">
        <v>1449</v>
      </c>
      <c r="G129">
        <f t="shared" si="5"/>
        <v>7518321972</v>
      </c>
      <c r="H129">
        <f t="shared" si="6"/>
        <v>27.799098400937964</v>
      </c>
      <c r="I129">
        <f t="shared" si="9"/>
        <v>222897008928.93607</v>
      </c>
      <c r="J129" s="6">
        <v>0.12</v>
      </c>
      <c r="K129" s="5">
        <f t="shared" si="7"/>
        <v>0.15774429128155051</v>
      </c>
      <c r="L129" s="7"/>
    </row>
    <row r="130" spans="1:12" x14ac:dyDescent="0.25">
      <c r="A130" t="s">
        <v>6</v>
      </c>
      <c r="B130">
        <v>1994</v>
      </c>
      <c r="C130">
        <v>220068623440.60223</v>
      </c>
      <c r="D130">
        <v>35216653253.557121</v>
      </c>
      <c r="E130">
        <v>5206180</v>
      </c>
      <c r="F130" s="4">
        <v>1407</v>
      </c>
      <c r="G130">
        <f t="shared" si="5"/>
        <v>7325095260</v>
      </c>
      <c r="H130">
        <f t="shared" si="6"/>
        <v>30.043107376681711</v>
      </c>
      <c r="I130">
        <f t="shared" si="9"/>
        <v>231366021111.02087</v>
      </c>
      <c r="J130" s="6">
        <v>0.12</v>
      </c>
      <c r="K130" s="5">
        <f t="shared" si="7"/>
        <v>0.16002578060866679</v>
      </c>
      <c r="L130" s="7"/>
    </row>
    <row r="131" spans="1:12" x14ac:dyDescent="0.25">
      <c r="A131" t="s">
        <v>6</v>
      </c>
      <c r="B131">
        <v>1995</v>
      </c>
      <c r="C131">
        <v>226754355589.9776</v>
      </c>
      <c r="D131">
        <v>38897305590.300133</v>
      </c>
      <c r="E131">
        <v>5233373</v>
      </c>
      <c r="F131" s="4">
        <v>1419</v>
      </c>
      <c r="G131">
        <f t="shared" ref="G131:G194" si="10">E131*F131</f>
        <v>7426156287</v>
      </c>
      <c r="H131">
        <f t="shared" ref="H131:H194" si="11">C131/G131</f>
        <v>30.534552038303687</v>
      </c>
      <c r="I131">
        <f t="shared" si="9"/>
        <v>242499404167.9985</v>
      </c>
      <c r="J131" s="6">
        <v>0.12</v>
      </c>
      <c r="K131" s="5">
        <f t="shared" ref="K131:K194" si="12">D131/C131</f>
        <v>0.17153939772885832</v>
      </c>
      <c r="L131" s="7"/>
    </row>
    <row r="132" spans="1:12" x14ac:dyDescent="0.25">
      <c r="A132" t="s">
        <v>6</v>
      </c>
      <c r="B132">
        <v>1996</v>
      </c>
      <c r="C132">
        <v>233320596340.2955</v>
      </c>
      <c r="D132">
        <v>40965324566.912392</v>
      </c>
      <c r="E132">
        <v>5263074</v>
      </c>
      <c r="F132" s="4">
        <v>1412</v>
      </c>
      <c r="G132">
        <f t="shared" si="10"/>
        <v>7431460488</v>
      </c>
      <c r="H132">
        <f t="shared" si="11"/>
        <v>31.396331409828726</v>
      </c>
      <c r="I132">
        <f t="shared" si="9"/>
        <v>254364800234.75107</v>
      </c>
      <c r="J132" s="6">
        <v>0.12</v>
      </c>
      <c r="K132" s="5">
        <f t="shared" si="12"/>
        <v>0.17557526086194689</v>
      </c>
      <c r="L132" s="7"/>
    </row>
    <row r="133" spans="1:12" x14ac:dyDescent="0.25">
      <c r="A133" t="s">
        <v>6</v>
      </c>
      <c r="B133">
        <v>1997</v>
      </c>
      <c r="C133">
        <v>240713316133.71405</v>
      </c>
      <c r="D133">
        <v>45098970394.264244</v>
      </c>
      <c r="E133">
        <v>5284991</v>
      </c>
      <c r="F133" s="4">
        <v>1428</v>
      </c>
      <c r="G133">
        <f t="shared" si="10"/>
        <v>7546967148</v>
      </c>
      <c r="H133">
        <f t="shared" si="11"/>
        <v>31.895370870602608</v>
      </c>
      <c r="I133">
        <f t="shared" si="9"/>
        <v>268939994600.84518</v>
      </c>
      <c r="J133" s="6">
        <v>0.12</v>
      </c>
      <c r="K133" s="5">
        <f t="shared" si="12"/>
        <v>0.18735552780641423</v>
      </c>
      <c r="L133" s="7"/>
    </row>
    <row r="134" spans="1:12" x14ac:dyDescent="0.25">
      <c r="A134" t="s">
        <v>6</v>
      </c>
      <c r="B134">
        <v>1998</v>
      </c>
      <c r="C134">
        <v>246313036662.65323</v>
      </c>
      <c r="D134">
        <v>48124183660.49469</v>
      </c>
      <c r="E134">
        <v>5304219</v>
      </c>
      <c r="F134" s="4">
        <v>1441</v>
      </c>
      <c r="G134">
        <f t="shared" si="10"/>
        <v>7643379579</v>
      </c>
      <c r="H134">
        <f t="shared" si="11"/>
        <v>32.225671133668712</v>
      </c>
      <c r="I134">
        <f t="shared" si="9"/>
        <v>284791378909.23846</v>
      </c>
      <c r="J134" s="6">
        <v>0.12</v>
      </c>
      <c r="K134" s="5">
        <f t="shared" si="12"/>
        <v>0.19537814284026256</v>
      </c>
      <c r="L134" s="7"/>
    </row>
    <row r="135" spans="1:12" x14ac:dyDescent="0.25">
      <c r="A135" t="s">
        <v>6</v>
      </c>
      <c r="B135">
        <v>1999</v>
      </c>
      <c r="C135">
        <v>253621896644.37292</v>
      </c>
      <c r="D135">
        <v>48009977263.27977</v>
      </c>
      <c r="E135">
        <v>5321799</v>
      </c>
      <c r="F135" s="4">
        <v>1456</v>
      </c>
      <c r="G135">
        <f t="shared" si="10"/>
        <v>7748539344</v>
      </c>
      <c r="H135">
        <f t="shared" si="11"/>
        <v>32.731574995584474</v>
      </c>
      <c r="I135">
        <f t="shared" si="9"/>
        <v>298626390703.40961</v>
      </c>
      <c r="J135" s="6">
        <v>0.12</v>
      </c>
      <c r="K135" s="5">
        <f t="shared" si="12"/>
        <v>0.18929744591650566</v>
      </c>
      <c r="L135" s="7"/>
    </row>
    <row r="136" spans="1:12" x14ac:dyDescent="0.25">
      <c r="A136" t="s">
        <v>6</v>
      </c>
      <c r="B136">
        <v>2000</v>
      </c>
      <c r="C136">
        <v>263066798839.5712</v>
      </c>
      <c r="D136">
        <v>51864360602.741615</v>
      </c>
      <c r="E136">
        <v>5339616</v>
      </c>
      <c r="F136" s="4">
        <v>1466</v>
      </c>
      <c r="G136">
        <f t="shared" si="10"/>
        <v>7827877056</v>
      </c>
      <c r="H136">
        <f t="shared" si="11"/>
        <v>33.606404004254614</v>
      </c>
      <c r="I136">
        <f t="shared" si="9"/>
        <v>314655584421.74207</v>
      </c>
      <c r="J136" s="6">
        <v>0.12</v>
      </c>
      <c r="K136" s="5">
        <f t="shared" si="12"/>
        <v>0.1971528175791222</v>
      </c>
      <c r="L136" s="7"/>
    </row>
    <row r="137" spans="1:12" x14ac:dyDescent="0.25">
      <c r="A137" t="s">
        <v>6</v>
      </c>
      <c r="B137">
        <v>2001</v>
      </c>
      <c r="C137">
        <v>265566018347.45493</v>
      </c>
      <c r="D137">
        <v>51698532949.657867</v>
      </c>
      <c r="E137">
        <v>5358783</v>
      </c>
      <c r="F137" s="4">
        <v>1469</v>
      </c>
      <c r="G137">
        <f t="shared" si="10"/>
        <v>7872052227</v>
      </c>
      <c r="H137">
        <f t="shared" si="11"/>
        <v>33.735296805654045</v>
      </c>
      <c r="I137">
        <f t="shared" si="9"/>
        <v>328595447240.79089</v>
      </c>
      <c r="J137" s="6">
        <v>0.12</v>
      </c>
      <c r="K137" s="5">
        <f t="shared" si="12"/>
        <v>0.19467299796624496</v>
      </c>
      <c r="L137" s="7"/>
    </row>
    <row r="138" spans="1:12" x14ac:dyDescent="0.25">
      <c r="A138" t="s">
        <v>6</v>
      </c>
      <c r="B138">
        <v>2002</v>
      </c>
      <c r="C138">
        <v>266778406866.57898</v>
      </c>
      <c r="D138">
        <v>50459237993.726753</v>
      </c>
      <c r="E138">
        <v>5375931</v>
      </c>
      <c r="F138" s="4">
        <v>1463</v>
      </c>
      <c r="G138">
        <f t="shared" si="10"/>
        <v>7864987053</v>
      </c>
      <c r="H138">
        <f t="shared" si="11"/>
        <v>33.919751560788612</v>
      </c>
      <c r="I138">
        <f t="shared" si="9"/>
        <v>339623231565.62274</v>
      </c>
      <c r="J138" s="6">
        <v>0.12</v>
      </c>
      <c r="K138" s="5">
        <f t="shared" si="12"/>
        <v>0.18914288673656557</v>
      </c>
      <c r="L138" s="7"/>
    </row>
    <row r="139" spans="1:12" x14ac:dyDescent="0.25">
      <c r="A139" t="s">
        <v>6</v>
      </c>
      <c r="B139">
        <v>2003</v>
      </c>
      <c r="C139">
        <v>267955142394.95648</v>
      </c>
      <c r="D139">
        <v>51419320551.641045</v>
      </c>
      <c r="E139">
        <v>5390574</v>
      </c>
      <c r="F139" s="4">
        <v>1458</v>
      </c>
      <c r="G139">
        <f t="shared" si="10"/>
        <v>7859456892</v>
      </c>
      <c r="H139">
        <f t="shared" si="11"/>
        <v>34.093340809299839</v>
      </c>
      <c r="I139">
        <f t="shared" si="9"/>
        <v>350287764329.3891</v>
      </c>
      <c r="J139" s="6">
        <v>0.12</v>
      </c>
      <c r="K139" s="5">
        <f t="shared" si="12"/>
        <v>0.19189525564637519</v>
      </c>
      <c r="L139" s="7"/>
    </row>
    <row r="140" spans="1:12" x14ac:dyDescent="0.25">
      <c r="A140" t="s">
        <v>6</v>
      </c>
      <c r="B140">
        <v>2004</v>
      </c>
      <c r="C140">
        <v>275394519939.12445</v>
      </c>
      <c r="D140">
        <v>53259366989.62281</v>
      </c>
      <c r="E140">
        <v>5404523</v>
      </c>
      <c r="F140" s="4">
        <v>1458</v>
      </c>
      <c r="G140">
        <f t="shared" si="10"/>
        <v>7879794534</v>
      </c>
      <c r="H140">
        <f t="shared" si="11"/>
        <v>34.94945442433086</v>
      </c>
      <c r="I140">
        <f t="shared" si="9"/>
        <v>361512599599.48523</v>
      </c>
      <c r="J140" s="6">
        <v>0.12</v>
      </c>
      <c r="K140" s="5">
        <f t="shared" si="12"/>
        <v>0.19339298037374061</v>
      </c>
      <c r="L140" s="7"/>
    </row>
    <row r="141" spans="1:12" x14ac:dyDescent="0.25">
      <c r="A141" t="s">
        <v>6</v>
      </c>
      <c r="B141">
        <v>2005</v>
      </c>
      <c r="C141">
        <v>281892753356.4823</v>
      </c>
      <c r="D141">
        <v>56504800606.276054</v>
      </c>
      <c r="E141">
        <v>5419432</v>
      </c>
      <c r="F141" s="4">
        <v>1451</v>
      </c>
      <c r="G141">
        <f t="shared" si="10"/>
        <v>7863595832</v>
      </c>
      <c r="H141">
        <f t="shared" si="11"/>
        <v>35.847818145656994</v>
      </c>
      <c r="I141">
        <f t="shared" si="9"/>
        <v>374635888253.82306</v>
      </c>
      <c r="J141" s="6">
        <v>0.12</v>
      </c>
      <c r="K141" s="5">
        <f t="shared" si="12"/>
        <v>0.20044786513124704</v>
      </c>
      <c r="L141" s="7"/>
    </row>
    <row r="142" spans="1:12" x14ac:dyDescent="0.25">
      <c r="A142" t="s">
        <v>6</v>
      </c>
      <c r="B142">
        <v>2006</v>
      </c>
      <c r="C142">
        <v>292651155607.72955</v>
      </c>
      <c r="D142">
        <v>64175047578.179657</v>
      </c>
      <c r="E142">
        <v>5437272</v>
      </c>
      <c r="F142" s="4">
        <v>1456</v>
      </c>
      <c r="G142">
        <f t="shared" si="10"/>
        <v>7916668032</v>
      </c>
      <c r="H142">
        <f t="shared" si="11"/>
        <v>36.966455385624734</v>
      </c>
      <c r="I142">
        <f t="shared" si="9"/>
        <v>393854629241.54395</v>
      </c>
      <c r="J142" s="6">
        <v>0.12</v>
      </c>
      <c r="K142" s="5">
        <f t="shared" si="12"/>
        <v>0.219288550031219</v>
      </c>
      <c r="L142" s="7"/>
    </row>
    <row r="143" spans="1:12" x14ac:dyDescent="0.25">
      <c r="A143" t="s">
        <v>6</v>
      </c>
      <c r="B143">
        <v>2007</v>
      </c>
      <c r="C143">
        <v>295540131107.44751</v>
      </c>
      <c r="D143">
        <v>64622299609.970978</v>
      </c>
      <c r="E143">
        <v>5461438</v>
      </c>
      <c r="F143" s="4">
        <v>1433</v>
      </c>
      <c r="G143">
        <f t="shared" si="10"/>
        <v>7826240654</v>
      </c>
      <c r="H143">
        <f t="shared" si="11"/>
        <v>37.76271957039765</v>
      </c>
      <c r="I143">
        <f t="shared" si="9"/>
        <v>411214373342.52966</v>
      </c>
      <c r="J143" s="6">
        <v>0.12</v>
      </c>
      <c r="K143" s="5">
        <f t="shared" si="12"/>
        <v>0.21865828971455889</v>
      </c>
      <c r="L143" s="7"/>
    </row>
    <row r="144" spans="1:12" x14ac:dyDescent="0.25">
      <c r="A144" t="s">
        <v>6</v>
      </c>
      <c r="B144">
        <v>2008</v>
      </c>
      <c r="C144">
        <v>294307201429.91187</v>
      </c>
      <c r="D144">
        <v>63081522179.495972</v>
      </c>
      <c r="E144">
        <v>5493621</v>
      </c>
      <c r="F144" s="4">
        <v>1430</v>
      </c>
      <c r="G144">
        <f t="shared" si="10"/>
        <v>7855878030</v>
      </c>
      <c r="H144">
        <f t="shared" si="11"/>
        <v>37.463310950859032</v>
      </c>
      <c r="I144">
        <f t="shared" si="9"/>
        <v>424950170720.92206</v>
      </c>
      <c r="J144" s="6">
        <v>0.12</v>
      </c>
      <c r="K144" s="5">
        <f t="shared" si="12"/>
        <v>0.21433903714557456</v>
      </c>
      <c r="L144" s="7"/>
    </row>
    <row r="145" spans="1:12" x14ac:dyDescent="0.25">
      <c r="A145" t="s">
        <v>6</v>
      </c>
      <c r="B145">
        <v>2009</v>
      </c>
      <c r="C145">
        <v>279666951279.328</v>
      </c>
      <c r="D145">
        <v>54709912790.079399</v>
      </c>
      <c r="E145">
        <v>5523095</v>
      </c>
      <c r="F145" s="4">
        <v>1417</v>
      </c>
      <c r="G145">
        <f t="shared" si="10"/>
        <v>7826225615</v>
      </c>
      <c r="H145">
        <f t="shared" si="11"/>
        <v>35.734588425780771</v>
      </c>
      <c r="I145">
        <f t="shared" si="9"/>
        <v>428666063024.49084</v>
      </c>
      <c r="J145" s="6">
        <v>0.12</v>
      </c>
      <c r="K145" s="5">
        <f t="shared" si="12"/>
        <v>0.1956252340142822</v>
      </c>
      <c r="L145" s="7"/>
    </row>
    <row r="146" spans="1:12" x14ac:dyDescent="0.25">
      <c r="A146" t="s">
        <v>6</v>
      </c>
      <c r="B146">
        <v>2010</v>
      </c>
      <c r="C146">
        <v>284093791119.24023</v>
      </c>
      <c r="D146">
        <v>51245724657.80864</v>
      </c>
      <c r="E146">
        <v>5547683</v>
      </c>
      <c r="F146" s="4">
        <v>1422</v>
      </c>
      <c r="G146">
        <f t="shared" si="10"/>
        <v>7888805226</v>
      </c>
      <c r="H146">
        <f t="shared" si="11"/>
        <v>36.012270930827547</v>
      </c>
      <c r="I146">
        <f t="shared" si="9"/>
        <v>428471860119.3606</v>
      </c>
      <c r="J146" s="6">
        <v>0.12</v>
      </c>
      <c r="K146" s="5">
        <f t="shared" si="12"/>
        <v>0.18038312085567443</v>
      </c>
      <c r="L146" s="7"/>
    </row>
    <row r="147" spans="1:12" x14ac:dyDescent="0.25">
      <c r="A147" t="s">
        <v>6</v>
      </c>
      <c r="B147">
        <v>2011</v>
      </c>
      <c r="C147">
        <v>287817703270.26099</v>
      </c>
      <c r="D147">
        <v>51769863158.597092</v>
      </c>
      <c r="E147">
        <v>5570572</v>
      </c>
      <c r="F147" s="4">
        <v>1437</v>
      </c>
      <c r="G147">
        <f t="shared" si="10"/>
        <v>8004911964</v>
      </c>
      <c r="H147">
        <f t="shared" si="11"/>
        <v>35.955136616698084</v>
      </c>
      <c r="I147">
        <f t="shared" si="9"/>
        <v>428825100063.63446</v>
      </c>
      <c r="J147" s="6">
        <v>0.12</v>
      </c>
      <c r="K147" s="5">
        <f t="shared" si="12"/>
        <v>0.17987032267429762</v>
      </c>
      <c r="L147" s="7"/>
    </row>
    <row r="148" spans="1:12" x14ac:dyDescent="0.25">
      <c r="A148" t="s">
        <v>6</v>
      </c>
      <c r="B148">
        <v>2012</v>
      </c>
      <c r="C148">
        <v>287802068095.36371</v>
      </c>
      <c r="D148">
        <v>53701741575.75045</v>
      </c>
      <c r="E148">
        <v>5591572</v>
      </c>
      <c r="F148" s="4">
        <v>1423</v>
      </c>
      <c r="G148">
        <f t="shared" si="10"/>
        <v>7956806956</v>
      </c>
      <c r="H148">
        <f t="shared" si="11"/>
        <v>36.170548020942043</v>
      </c>
      <c r="I148">
        <f t="shared" si="9"/>
        <v>431067829631.74878</v>
      </c>
      <c r="J148" s="6">
        <v>0.12</v>
      </c>
      <c r="K148" s="5">
        <f t="shared" si="12"/>
        <v>0.18659261877839003</v>
      </c>
      <c r="L148" s="7"/>
    </row>
    <row r="149" spans="1:12" x14ac:dyDescent="0.25">
      <c r="A149" t="s">
        <v>6</v>
      </c>
      <c r="B149">
        <v>2013</v>
      </c>
      <c r="C149">
        <v>291810211144.33691</v>
      </c>
      <c r="D149">
        <v>54676152066.916069</v>
      </c>
      <c r="E149">
        <v>5614932</v>
      </c>
      <c r="F149" s="4">
        <v>1426</v>
      </c>
      <c r="G149">
        <f t="shared" si="10"/>
        <v>8006893032</v>
      </c>
      <c r="H149">
        <f t="shared" si="11"/>
        <v>36.444874432329861</v>
      </c>
      <c r="I149">
        <f t="shared" si="9"/>
        <v>434015842142.85498</v>
      </c>
      <c r="J149" s="6">
        <v>0.12</v>
      </c>
      <c r="K149" s="5">
        <f t="shared" si="12"/>
        <v>0.18736887873972247</v>
      </c>
      <c r="L149" s="7"/>
    </row>
    <row r="150" spans="1:12" x14ac:dyDescent="0.25">
      <c r="A150" t="s">
        <v>6</v>
      </c>
      <c r="B150">
        <v>2014</v>
      </c>
      <c r="C150">
        <v>295539545041.06769</v>
      </c>
      <c r="D150">
        <v>57453279257.959534</v>
      </c>
      <c r="E150">
        <v>5643475</v>
      </c>
      <c r="F150" s="4">
        <v>1414</v>
      </c>
      <c r="G150">
        <f t="shared" si="10"/>
        <v>7979873650</v>
      </c>
      <c r="H150">
        <f t="shared" si="11"/>
        <v>37.035617104171529</v>
      </c>
      <c r="I150">
        <f t="shared" si="9"/>
        <v>439387220343.67194</v>
      </c>
      <c r="J150" s="6">
        <v>0.12</v>
      </c>
      <c r="K150" s="5">
        <f t="shared" si="12"/>
        <v>0.19440132537923452</v>
      </c>
      <c r="L150" s="7"/>
    </row>
    <row r="151" spans="1:12" x14ac:dyDescent="0.25">
      <c r="A151" t="s">
        <v>6</v>
      </c>
      <c r="B151">
        <v>2015</v>
      </c>
      <c r="C151">
        <v>301758922337.63733</v>
      </c>
      <c r="D151">
        <v>59757055661.030449</v>
      </c>
      <c r="E151">
        <v>5683483</v>
      </c>
      <c r="F151" s="4">
        <v>1407</v>
      </c>
      <c r="G151">
        <f t="shared" si="10"/>
        <v>7996660581</v>
      </c>
      <c r="H151">
        <f t="shared" si="11"/>
        <v>37.735617171824707</v>
      </c>
      <c r="I151">
        <f t="shared" si="9"/>
        <v>446417809563.46173</v>
      </c>
      <c r="J151" s="6">
        <v>0.12</v>
      </c>
      <c r="K151" s="5">
        <f t="shared" si="12"/>
        <v>0.19802912602586917</v>
      </c>
      <c r="L151" s="7"/>
    </row>
    <row r="152" spans="1:12" x14ac:dyDescent="0.25">
      <c r="A152" t="s">
        <v>6</v>
      </c>
      <c r="B152">
        <v>2016</v>
      </c>
      <c r="C152">
        <v>311032111245.33496</v>
      </c>
      <c r="D152">
        <v>64525226922.079109</v>
      </c>
      <c r="E152">
        <v>5728010</v>
      </c>
      <c r="F152" s="4">
        <v>1412</v>
      </c>
      <c r="G152">
        <f t="shared" si="10"/>
        <v>8087950120</v>
      </c>
      <c r="H152">
        <f t="shared" si="11"/>
        <v>38.456235094255867</v>
      </c>
      <c r="I152">
        <f t="shared" si="9"/>
        <v>457372899337.92542</v>
      </c>
      <c r="J152" s="6">
        <v>0.12</v>
      </c>
      <c r="K152" s="5">
        <f t="shared" si="12"/>
        <v>0.20745519381818137</v>
      </c>
      <c r="L152" s="7"/>
    </row>
    <row r="153" spans="1:12" x14ac:dyDescent="0.25">
      <c r="A153" t="s">
        <v>6</v>
      </c>
      <c r="B153">
        <v>2017</v>
      </c>
      <c r="C153">
        <v>320538736946.8797</v>
      </c>
      <c r="D153">
        <v>67377544660.893959</v>
      </c>
      <c r="E153">
        <v>5764980</v>
      </c>
      <c r="F153" s="4">
        <v>1404</v>
      </c>
      <c r="G153">
        <f t="shared" si="10"/>
        <v>8094031920</v>
      </c>
      <c r="H153">
        <f t="shared" si="11"/>
        <v>39.601862225776806</v>
      </c>
      <c r="I153">
        <f t="shared" si="9"/>
        <v>469865696078.26837</v>
      </c>
      <c r="J153" s="6">
        <v>0.12</v>
      </c>
      <c r="K153" s="5">
        <f t="shared" si="12"/>
        <v>0.21020094264631703</v>
      </c>
      <c r="L153" s="7"/>
    </row>
    <row r="154" spans="1:12" x14ac:dyDescent="0.25">
      <c r="A154" t="s">
        <v>6</v>
      </c>
      <c r="B154">
        <v>2018</v>
      </c>
      <c r="C154">
        <v>326500781458.7641</v>
      </c>
      <c r="D154">
        <v>70089207657.642807</v>
      </c>
      <c r="E154">
        <v>5793636</v>
      </c>
      <c r="F154" s="4">
        <v>1381</v>
      </c>
      <c r="G154">
        <f t="shared" si="10"/>
        <v>8001011316</v>
      </c>
      <c r="H154">
        <f t="shared" si="11"/>
        <v>40.807439030344213</v>
      </c>
      <c r="I154">
        <f t="shared" si="9"/>
        <v>483571020206.51898</v>
      </c>
      <c r="J154" s="6">
        <v>0.12</v>
      </c>
      <c r="K154" s="5">
        <f t="shared" si="12"/>
        <v>0.21466780981194933</v>
      </c>
      <c r="L154" s="7"/>
    </row>
    <row r="155" spans="1:12" x14ac:dyDescent="0.25">
      <c r="A155" t="s">
        <v>6</v>
      </c>
      <c r="B155">
        <v>2019</v>
      </c>
      <c r="C155">
        <v>332088518914.50958</v>
      </c>
      <c r="D155">
        <v>69522124448.0103</v>
      </c>
      <c r="E155">
        <v>5814422</v>
      </c>
      <c r="F155" s="4">
        <v>1371</v>
      </c>
      <c r="G155">
        <f t="shared" si="10"/>
        <v>7971572562</v>
      </c>
      <c r="H155">
        <f t="shared" si="11"/>
        <v>41.659097540873589</v>
      </c>
      <c r="I155">
        <f t="shared" si="9"/>
        <v>495064622229.74701</v>
      </c>
      <c r="J155" s="6">
        <v>0.12</v>
      </c>
      <c r="K155" s="5">
        <f t="shared" si="12"/>
        <v>0.20934817221401009</v>
      </c>
      <c r="L155" s="7"/>
    </row>
    <row r="156" spans="1:12" x14ac:dyDescent="0.25">
      <c r="A156" t="s">
        <v>6</v>
      </c>
      <c r="B156">
        <v>2020</v>
      </c>
      <c r="C156">
        <v>326176991303.12958</v>
      </c>
      <c r="D156">
        <v>72512111750.810699</v>
      </c>
      <c r="E156">
        <v>5831404</v>
      </c>
      <c r="F156" s="4">
        <v>1341</v>
      </c>
      <c r="G156">
        <f t="shared" si="10"/>
        <v>7819912764</v>
      </c>
      <c r="H156">
        <f t="shared" si="11"/>
        <v>41.711078006487284</v>
      </c>
      <c r="I156">
        <f t="shared" si="9"/>
        <v>508168979312.98804</v>
      </c>
      <c r="J156" s="6">
        <v>0.12</v>
      </c>
      <c r="K156" s="5">
        <f t="shared" si="12"/>
        <v>0.22230909501345616</v>
      </c>
      <c r="L156" s="7"/>
    </row>
    <row r="157" spans="1:12" x14ac:dyDescent="0.25">
      <c r="A157" t="s">
        <v>6</v>
      </c>
      <c r="B157">
        <v>2021</v>
      </c>
      <c r="C157">
        <v>350255593023.12207</v>
      </c>
      <c r="D157">
        <v>79595968765.343277</v>
      </c>
      <c r="E157">
        <v>5856733</v>
      </c>
      <c r="F157" s="4">
        <v>1390</v>
      </c>
      <c r="G157">
        <f t="shared" si="10"/>
        <v>8140858870</v>
      </c>
      <c r="H157">
        <f t="shared" si="11"/>
        <v>43.024403028758321</v>
      </c>
      <c r="I157">
        <f t="shared" si="9"/>
        <v>526784670560.77271</v>
      </c>
      <c r="J157" s="6">
        <v>0.12</v>
      </c>
      <c r="K157" s="5">
        <f t="shared" si="12"/>
        <v>0.2272510999134531</v>
      </c>
      <c r="L157" s="7"/>
    </row>
    <row r="158" spans="1:12" x14ac:dyDescent="0.25">
      <c r="A158" t="s">
        <v>6</v>
      </c>
      <c r="B158">
        <v>2022</v>
      </c>
      <c r="C158">
        <v>355650135472.96265</v>
      </c>
      <c r="D158">
        <v>81813885031.749863</v>
      </c>
      <c r="E158">
        <v>5903037</v>
      </c>
      <c r="F158" s="4">
        <v>1394</v>
      </c>
      <c r="G158">
        <f t="shared" si="10"/>
        <v>8228833578</v>
      </c>
      <c r="H158">
        <f t="shared" si="11"/>
        <v>43.219993708926438</v>
      </c>
      <c r="I158">
        <f t="shared" si="9"/>
        <v>545384395125.22986</v>
      </c>
      <c r="J158" s="6">
        <v>0.12</v>
      </c>
      <c r="K158" s="5">
        <f t="shared" si="12"/>
        <v>0.23004035953184543</v>
      </c>
      <c r="L158" s="7"/>
    </row>
    <row r="159" spans="1:12" x14ac:dyDescent="0.25">
      <c r="A159" t="s">
        <v>7</v>
      </c>
      <c r="B159">
        <v>1980</v>
      </c>
      <c r="C159">
        <v>1274121102921.8467</v>
      </c>
      <c r="D159">
        <v>296222294994.34943</v>
      </c>
      <c r="E159">
        <v>55274184</v>
      </c>
      <c r="F159" s="4">
        <v>1806</v>
      </c>
      <c r="G159">
        <f t="shared" si="10"/>
        <v>99825176304</v>
      </c>
      <c r="H159">
        <f t="shared" si="11"/>
        <v>12.76352469482984</v>
      </c>
      <c r="I159">
        <f>D159</f>
        <v>296222294994.34943</v>
      </c>
      <c r="J159" s="6">
        <v>0.12</v>
      </c>
      <c r="K159" s="5">
        <f t="shared" si="12"/>
        <v>0.23249147535116166</v>
      </c>
      <c r="L159" s="7"/>
    </row>
    <row r="160" spans="1:12" x14ac:dyDescent="0.25">
      <c r="A160" t="s">
        <v>7</v>
      </c>
      <c r="B160">
        <v>1981</v>
      </c>
      <c r="C160">
        <v>1289261671159.1201</v>
      </c>
      <c r="D160">
        <v>292970750969.51941</v>
      </c>
      <c r="E160">
        <v>55603353</v>
      </c>
      <c r="F160" s="4">
        <v>1786</v>
      </c>
      <c r="G160">
        <f t="shared" si="10"/>
        <v>99307588458</v>
      </c>
      <c r="H160">
        <f t="shared" si="11"/>
        <v>12.982509103062004</v>
      </c>
      <c r="I160">
        <f>I159-(I159*J159)+D160</f>
        <v>553646370564.54688</v>
      </c>
      <c r="J160" s="6">
        <v>0.12</v>
      </c>
      <c r="K160" s="5">
        <f t="shared" si="12"/>
        <v>0.22723916914874381</v>
      </c>
      <c r="L160" s="7"/>
    </row>
    <row r="161" spans="1:12" x14ac:dyDescent="0.25">
      <c r="A161" t="s">
        <v>7</v>
      </c>
      <c r="B161">
        <v>1982</v>
      </c>
      <c r="C161">
        <v>1320752051309.4915</v>
      </c>
      <c r="D161">
        <v>290482244478.36865</v>
      </c>
      <c r="E161">
        <v>55806789</v>
      </c>
      <c r="F161" s="4">
        <v>1714</v>
      </c>
      <c r="G161">
        <f t="shared" si="10"/>
        <v>95652836346</v>
      </c>
      <c r="H161">
        <f t="shared" si="11"/>
        <v>13.807766729801971</v>
      </c>
      <c r="I161">
        <f t="shared" ref="I161:I201" si="13">I160-(I160*J160)+D161</f>
        <v>777691050575.16992</v>
      </c>
      <c r="J161" s="6">
        <v>0.12</v>
      </c>
      <c r="K161" s="5">
        <f t="shared" si="12"/>
        <v>0.21993700043120359</v>
      </c>
      <c r="L161" s="7"/>
    </row>
    <row r="162" spans="1:12" x14ac:dyDescent="0.25">
      <c r="A162" t="s">
        <v>7</v>
      </c>
      <c r="B162">
        <v>1983</v>
      </c>
      <c r="C162">
        <v>1337420703941.9685</v>
      </c>
      <c r="D162">
        <v>280674373537.33466</v>
      </c>
      <c r="E162">
        <v>56108330</v>
      </c>
      <c r="F162" s="4">
        <v>1696</v>
      </c>
      <c r="G162">
        <f t="shared" si="10"/>
        <v>95159727680</v>
      </c>
      <c r="H162">
        <f t="shared" si="11"/>
        <v>14.05448225366305</v>
      </c>
      <c r="I162">
        <f t="shared" si="13"/>
        <v>965042498043.48413</v>
      </c>
      <c r="J162" s="6">
        <v>0.12</v>
      </c>
      <c r="K162" s="5">
        <f t="shared" si="12"/>
        <v>0.20986244097318332</v>
      </c>
      <c r="L162" s="7"/>
    </row>
    <row r="163" spans="1:12" x14ac:dyDescent="0.25">
      <c r="A163" t="s">
        <v>7</v>
      </c>
      <c r="B163">
        <v>1984</v>
      </c>
      <c r="C163">
        <v>1358946108345.0193</v>
      </c>
      <c r="D163">
        <v>277453835959.74597</v>
      </c>
      <c r="E163">
        <v>56383085</v>
      </c>
      <c r="F163" s="4">
        <v>1690</v>
      </c>
      <c r="G163">
        <f t="shared" si="10"/>
        <v>95287413650</v>
      </c>
      <c r="H163">
        <f t="shared" si="11"/>
        <v>14.261548889725997</v>
      </c>
      <c r="I163">
        <f t="shared" si="13"/>
        <v>1126691234238.012</v>
      </c>
      <c r="J163" s="6">
        <v>0.12</v>
      </c>
      <c r="K163" s="5">
        <f t="shared" si="12"/>
        <v>0.20416838773514037</v>
      </c>
      <c r="L163" s="7"/>
    </row>
    <row r="164" spans="1:12" x14ac:dyDescent="0.25">
      <c r="A164" t="s">
        <v>7</v>
      </c>
      <c r="B164">
        <v>1985</v>
      </c>
      <c r="C164">
        <v>1380268983374.5283</v>
      </c>
      <c r="D164">
        <v>282837371136.63385</v>
      </c>
      <c r="E164">
        <v>56665619</v>
      </c>
      <c r="F164" s="4">
        <v>1654</v>
      </c>
      <c r="G164">
        <f t="shared" si="10"/>
        <v>93724933826</v>
      </c>
      <c r="H164">
        <f t="shared" si="11"/>
        <v>14.726806699453025</v>
      </c>
      <c r="I164">
        <f t="shared" si="13"/>
        <v>1274325657266.0845</v>
      </c>
      <c r="J164" s="6">
        <v>0.12</v>
      </c>
      <c r="K164" s="5">
        <f t="shared" si="12"/>
        <v>0.20491467572149849</v>
      </c>
      <c r="L164" s="7"/>
    </row>
    <row r="165" spans="1:12" x14ac:dyDescent="0.25">
      <c r="A165" t="s">
        <v>7</v>
      </c>
      <c r="B165">
        <v>1986</v>
      </c>
      <c r="C165">
        <v>1413251001531.1592</v>
      </c>
      <c r="D165">
        <v>294505280525.10449</v>
      </c>
      <c r="E165">
        <v>56956002</v>
      </c>
      <c r="F165" s="4">
        <v>1648</v>
      </c>
      <c r="G165">
        <f t="shared" si="10"/>
        <v>93863491296</v>
      </c>
      <c r="H165">
        <f t="shared" si="11"/>
        <v>15.056450404923144</v>
      </c>
      <c r="I165">
        <f t="shared" si="13"/>
        <v>1415911858919.2588</v>
      </c>
      <c r="J165" s="6">
        <v>0.12</v>
      </c>
      <c r="K165" s="5">
        <f t="shared" si="12"/>
        <v>0.2083885171183523</v>
      </c>
      <c r="L165" s="7"/>
    </row>
    <row r="166" spans="1:12" x14ac:dyDescent="0.25">
      <c r="A166" t="s">
        <v>7</v>
      </c>
      <c r="B166">
        <v>1987</v>
      </c>
      <c r="C166">
        <v>1449327711875.2722</v>
      </c>
      <c r="D166">
        <v>309611916529.64392</v>
      </c>
      <c r="E166">
        <v>57266167</v>
      </c>
      <c r="F166" s="4">
        <v>1659</v>
      </c>
      <c r="G166">
        <f t="shared" si="10"/>
        <v>95004571053</v>
      </c>
      <c r="H166">
        <f t="shared" si="11"/>
        <v>15.255347146051939</v>
      </c>
      <c r="I166">
        <f t="shared" si="13"/>
        <v>1555614352378.5918</v>
      </c>
      <c r="J166" s="6">
        <v>0.12</v>
      </c>
      <c r="K166" s="5">
        <f t="shared" si="12"/>
        <v>0.21362450603324201</v>
      </c>
      <c r="L166" s="7"/>
    </row>
    <row r="167" spans="1:12" x14ac:dyDescent="0.25">
      <c r="A167" t="s">
        <v>7</v>
      </c>
      <c r="B167">
        <v>1988</v>
      </c>
      <c r="C167">
        <v>1519101594661.875</v>
      </c>
      <c r="D167">
        <v>336146244615.24347</v>
      </c>
      <c r="E167">
        <v>57598186</v>
      </c>
      <c r="F167" s="4">
        <v>1667</v>
      </c>
      <c r="G167">
        <f t="shared" si="10"/>
        <v>96016176062</v>
      </c>
      <c r="H167">
        <f t="shared" si="11"/>
        <v>15.821309043602755</v>
      </c>
      <c r="I167">
        <f t="shared" si="13"/>
        <v>1705086874708.4043</v>
      </c>
      <c r="J167" s="6">
        <v>0.12</v>
      </c>
      <c r="K167" s="5">
        <f t="shared" si="12"/>
        <v>0.2212796338286141</v>
      </c>
      <c r="L167" s="7"/>
    </row>
    <row r="168" spans="1:12" x14ac:dyDescent="0.25">
      <c r="A168" t="s">
        <v>7</v>
      </c>
      <c r="B168">
        <v>1989</v>
      </c>
      <c r="C168">
        <v>1586020592048.6365</v>
      </c>
      <c r="D168">
        <v>360392298891.55048</v>
      </c>
      <c r="E168">
        <v>57943062</v>
      </c>
      <c r="F168" s="4">
        <v>1651</v>
      </c>
      <c r="G168">
        <f t="shared" si="10"/>
        <v>95663995362</v>
      </c>
      <c r="H168">
        <f t="shared" si="11"/>
        <v>16.579075398712035</v>
      </c>
      <c r="I168">
        <f t="shared" si="13"/>
        <v>1860868748634.9463</v>
      </c>
      <c r="J168" s="6">
        <v>0.12</v>
      </c>
      <c r="K168" s="5">
        <f t="shared" si="12"/>
        <v>0.22723052947631514</v>
      </c>
      <c r="L168" s="7"/>
    </row>
    <row r="169" spans="1:12" x14ac:dyDescent="0.25">
      <c r="A169" t="s">
        <v>7</v>
      </c>
      <c r="B169">
        <v>1990</v>
      </c>
      <c r="C169">
        <v>1630899061497.0005</v>
      </c>
      <c r="D169">
        <v>376114667950.8454</v>
      </c>
      <c r="E169">
        <v>58261012</v>
      </c>
      <c r="F169" s="4">
        <v>1645</v>
      </c>
      <c r="G169">
        <f t="shared" si="10"/>
        <v>95839364740</v>
      </c>
      <c r="H169">
        <f t="shared" si="11"/>
        <v>17.01700617404364</v>
      </c>
      <c r="I169">
        <f t="shared" si="13"/>
        <v>2013679166749.5981</v>
      </c>
      <c r="J169" s="6">
        <v>0.12</v>
      </c>
      <c r="K169" s="5">
        <f t="shared" si="12"/>
        <v>0.2306179927564678</v>
      </c>
      <c r="L169" s="7"/>
    </row>
    <row r="170" spans="1:12" x14ac:dyDescent="0.25">
      <c r="A170" t="s">
        <v>7</v>
      </c>
      <c r="B170">
        <v>1991</v>
      </c>
      <c r="C170">
        <v>1651067777946.6785</v>
      </c>
      <c r="D170">
        <v>374185936231.8114</v>
      </c>
      <c r="E170">
        <v>58554242</v>
      </c>
      <c r="F170" s="4">
        <v>1638</v>
      </c>
      <c r="G170">
        <f t="shared" si="10"/>
        <v>95911848396</v>
      </c>
      <c r="H170">
        <f t="shared" si="11"/>
        <v>17.214429766067735</v>
      </c>
      <c r="I170">
        <f t="shared" si="13"/>
        <v>2146223602971.458</v>
      </c>
      <c r="J170" s="6">
        <v>0.12</v>
      </c>
      <c r="K170" s="5">
        <f t="shared" si="12"/>
        <v>0.22663269263068123</v>
      </c>
      <c r="L170" s="7"/>
    </row>
    <row r="171" spans="1:12" x14ac:dyDescent="0.25">
      <c r="A171" t="s">
        <v>7</v>
      </c>
      <c r="B171">
        <v>1992</v>
      </c>
      <c r="C171">
        <v>1676098974581.9846</v>
      </c>
      <c r="D171">
        <v>366351791086.06494</v>
      </c>
      <c r="E171">
        <v>58846584</v>
      </c>
      <c r="F171" s="4">
        <v>1635</v>
      </c>
      <c r="G171">
        <f t="shared" si="10"/>
        <v>96214164840</v>
      </c>
      <c r="H171">
        <f t="shared" si="11"/>
        <v>17.42050120550612</v>
      </c>
      <c r="I171">
        <f t="shared" si="13"/>
        <v>2255028561700.9482</v>
      </c>
      <c r="J171" s="6">
        <v>0.12</v>
      </c>
      <c r="K171" s="5">
        <f t="shared" si="12"/>
        <v>0.21857407983763744</v>
      </c>
      <c r="L171" s="7"/>
    </row>
    <row r="172" spans="1:12" x14ac:dyDescent="0.25">
      <c r="A172" t="s">
        <v>7</v>
      </c>
      <c r="B172">
        <v>1993</v>
      </c>
      <c r="C172">
        <v>1670081815454.98</v>
      </c>
      <c r="D172">
        <v>345537990527.62274</v>
      </c>
      <c r="E172">
        <v>59103094</v>
      </c>
      <c r="F172" s="4">
        <v>1627</v>
      </c>
      <c r="G172">
        <f t="shared" si="10"/>
        <v>96160733938</v>
      </c>
      <c r="H172">
        <f t="shared" si="11"/>
        <v>17.367606787732836</v>
      </c>
      <c r="I172">
        <f t="shared" si="13"/>
        <v>2329963124824.457</v>
      </c>
      <c r="J172" s="6">
        <v>0.12</v>
      </c>
      <c r="K172" s="5">
        <f t="shared" si="12"/>
        <v>0.20689884012268459</v>
      </c>
      <c r="L172" s="7"/>
    </row>
    <row r="173" spans="1:12" x14ac:dyDescent="0.25">
      <c r="A173" t="s">
        <v>7</v>
      </c>
      <c r="B173">
        <v>1994</v>
      </c>
      <c r="C173">
        <v>1709890902753.8721</v>
      </c>
      <c r="D173">
        <v>350318320159.80316</v>
      </c>
      <c r="E173">
        <v>59324863</v>
      </c>
      <c r="F173" s="4">
        <v>1623</v>
      </c>
      <c r="G173">
        <f t="shared" si="10"/>
        <v>96284252649</v>
      </c>
      <c r="H173">
        <f t="shared" si="11"/>
        <v>17.7587804413584</v>
      </c>
      <c r="I173">
        <f t="shared" si="13"/>
        <v>2400685870005.3252</v>
      </c>
      <c r="J173" s="6">
        <v>0.12</v>
      </c>
      <c r="K173" s="5">
        <f t="shared" si="12"/>
        <v>0.20487758581298754</v>
      </c>
      <c r="L173" s="7"/>
    </row>
    <row r="174" spans="1:12" x14ac:dyDescent="0.25">
      <c r="A174" t="s">
        <v>7</v>
      </c>
      <c r="B174">
        <v>1995</v>
      </c>
      <c r="C174">
        <v>1749300344619.074</v>
      </c>
      <c r="D174">
        <v>355023067554.84851</v>
      </c>
      <c r="E174">
        <v>59541294</v>
      </c>
      <c r="F174" s="4">
        <v>1601</v>
      </c>
      <c r="G174">
        <f t="shared" si="10"/>
        <v>95325611694</v>
      </c>
      <c r="H174">
        <f t="shared" si="11"/>
        <v>18.350790658804435</v>
      </c>
      <c r="I174">
        <f t="shared" si="13"/>
        <v>2467626633159.5347</v>
      </c>
      <c r="J174" s="6">
        <v>0.12</v>
      </c>
      <c r="K174" s="5">
        <f t="shared" si="12"/>
        <v>0.20295146493677621</v>
      </c>
      <c r="L174" s="7"/>
    </row>
    <row r="175" spans="1:12" x14ac:dyDescent="0.25">
      <c r="A175" t="s">
        <v>7</v>
      </c>
      <c r="B175">
        <v>1996</v>
      </c>
      <c r="C175">
        <v>1773739467452.5044</v>
      </c>
      <c r="D175">
        <v>356163915308.53058</v>
      </c>
      <c r="E175">
        <v>59754504</v>
      </c>
      <c r="F175" s="4">
        <v>1597</v>
      </c>
      <c r="G175">
        <f t="shared" si="10"/>
        <v>95427942888</v>
      </c>
      <c r="H175">
        <f t="shared" si="11"/>
        <v>18.587212652527491</v>
      </c>
      <c r="I175">
        <f t="shared" si="13"/>
        <v>2527675352488.9214</v>
      </c>
      <c r="J175" s="6">
        <v>0.12</v>
      </c>
      <c r="K175" s="5">
        <f t="shared" si="12"/>
        <v>0.20079832570905323</v>
      </c>
      <c r="L175" s="7"/>
    </row>
    <row r="176" spans="1:12" x14ac:dyDescent="0.25">
      <c r="A176" t="s">
        <v>7</v>
      </c>
      <c r="B176">
        <v>1997</v>
      </c>
      <c r="C176">
        <v>1818562957208.5994</v>
      </c>
      <c r="D176">
        <v>356942298515.00006</v>
      </c>
      <c r="E176">
        <v>59968066</v>
      </c>
      <c r="F176" s="4">
        <v>1596</v>
      </c>
      <c r="G176">
        <f t="shared" si="10"/>
        <v>95709033336</v>
      </c>
      <c r="H176">
        <f t="shared" si="11"/>
        <v>19.000954181872036</v>
      </c>
      <c r="I176">
        <f t="shared" si="13"/>
        <v>2581296608705.251</v>
      </c>
      <c r="J176" s="6">
        <v>0.12</v>
      </c>
      <c r="K176" s="5">
        <f t="shared" si="12"/>
        <v>0.19627711930462288</v>
      </c>
      <c r="L176" s="7"/>
    </row>
    <row r="177" spans="1:12" x14ac:dyDescent="0.25">
      <c r="A177" t="s">
        <v>7</v>
      </c>
      <c r="B177">
        <v>1998</v>
      </c>
      <c r="C177">
        <v>1881350559081.6748</v>
      </c>
      <c r="D177">
        <v>379589620162.79303</v>
      </c>
      <c r="E177">
        <v>60190684</v>
      </c>
      <c r="F177" s="4">
        <v>1585</v>
      </c>
      <c r="G177">
        <f t="shared" si="10"/>
        <v>95402234140</v>
      </c>
      <c r="H177">
        <f t="shared" si="11"/>
        <v>19.720193935090112</v>
      </c>
      <c r="I177">
        <f t="shared" si="13"/>
        <v>2651130635823.4141</v>
      </c>
      <c r="J177" s="6">
        <v>0.12</v>
      </c>
      <c r="K177" s="5">
        <f t="shared" si="12"/>
        <v>0.20176442839450315</v>
      </c>
      <c r="L177" s="7"/>
    </row>
    <row r="178" spans="1:12" x14ac:dyDescent="0.25">
      <c r="A178" t="s">
        <v>7</v>
      </c>
      <c r="B178">
        <v>1999</v>
      </c>
      <c r="C178">
        <v>1945303460153.5156</v>
      </c>
      <c r="D178">
        <v>408453145331.14307</v>
      </c>
      <c r="E178">
        <v>60501986</v>
      </c>
      <c r="F178" s="4">
        <v>1578</v>
      </c>
      <c r="G178">
        <f t="shared" si="10"/>
        <v>95472133908</v>
      </c>
      <c r="H178">
        <f t="shared" si="11"/>
        <v>20.375615171941924</v>
      </c>
      <c r="I178">
        <f t="shared" si="13"/>
        <v>2741448104855.7476</v>
      </c>
      <c r="J178" s="6">
        <v>0.12</v>
      </c>
      <c r="K178" s="5">
        <f t="shared" si="12"/>
        <v>0.20996885766034137</v>
      </c>
      <c r="L178" s="7"/>
    </row>
    <row r="179" spans="1:12" x14ac:dyDescent="0.25">
      <c r="A179" t="s">
        <v>7</v>
      </c>
      <c r="B179">
        <v>2000</v>
      </c>
      <c r="C179">
        <v>2025858476369.7827</v>
      </c>
      <c r="D179">
        <v>435479705482.12976</v>
      </c>
      <c r="E179">
        <v>60918661</v>
      </c>
      <c r="F179" s="4">
        <v>1558</v>
      </c>
      <c r="G179">
        <f t="shared" si="10"/>
        <v>94911273838</v>
      </c>
      <c r="H179">
        <f t="shared" si="11"/>
        <v>21.344761211693715</v>
      </c>
      <c r="I179">
        <f t="shared" si="13"/>
        <v>2847954037755.1875</v>
      </c>
      <c r="J179" s="6">
        <v>0.12</v>
      </c>
      <c r="K179" s="5">
        <f t="shared" si="12"/>
        <v>0.21496057625036244</v>
      </c>
      <c r="L179" s="7"/>
    </row>
    <row r="180" spans="1:12" x14ac:dyDescent="0.25">
      <c r="A180" t="s">
        <v>7</v>
      </c>
      <c r="B180">
        <v>2001</v>
      </c>
      <c r="C180">
        <v>2064338989662.438</v>
      </c>
      <c r="D180">
        <v>444517024158.67627</v>
      </c>
      <c r="E180">
        <v>61364377</v>
      </c>
      <c r="F180" s="4">
        <v>1538</v>
      </c>
      <c r="G180">
        <f t="shared" si="10"/>
        <v>94378411826</v>
      </c>
      <c r="H180">
        <f t="shared" si="11"/>
        <v>21.872999870651988</v>
      </c>
      <c r="I180">
        <f t="shared" si="13"/>
        <v>2950716577383.2412</v>
      </c>
      <c r="J180" s="6">
        <v>0.12</v>
      </c>
      <c r="K180" s="5">
        <f t="shared" si="12"/>
        <v>0.21533140941709578</v>
      </c>
      <c r="L180" s="7"/>
    </row>
    <row r="181" spans="1:12" x14ac:dyDescent="0.25">
      <c r="A181" t="s">
        <v>7</v>
      </c>
      <c r="B181">
        <v>2002</v>
      </c>
      <c r="C181">
        <v>2086380974391.2607</v>
      </c>
      <c r="D181">
        <v>440271309984.30481</v>
      </c>
      <c r="E181">
        <v>61812142</v>
      </c>
      <c r="F181" s="4">
        <v>1504</v>
      </c>
      <c r="G181">
        <f t="shared" si="10"/>
        <v>92965461568</v>
      </c>
      <c r="H181">
        <f t="shared" si="11"/>
        <v>22.442538757957632</v>
      </c>
      <c r="I181">
        <f t="shared" si="13"/>
        <v>3036901898081.5571</v>
      </c>
      <c r="J181" s="6">
        <v>0.12</v>
      </c>
      <c r="K181" s="5">
        <f t="shared" si="12"/>
        <v>0.21102153220734862</v>
      </c>
      <c r="L181" s="7"/>
    </row>
    <row r="182" spans="1:12" x14ac:dyDescent="0.25">
      <c r="A182" t="s">
        <v>7</v>
      </c>
      <c r="B182">
        <v>2003</v>
      </c>
      <c r="C182">
        <v>2106573536491.9841</v>
      </c>
      <c r="D182">
        <v>450653676714.4884</v>
      </c>
      <c r="E182">
        <v>62249855</v>
      </c>
      <c r="F182" s="4">
        <v>1507</v>
      </c>
      <c r="G182">
        <f t="shared" si="10"/>
        <v>93810531485</v>
      </c>
      <c r="H182">
        <f t="shared" si="11"/>
        <v>22.455618821739844</v>
      </c>
      <c r="I182">
        <f t="shared" si="13"/>
        <v>3123127347026.2588</v>
      </c>
      <c r="J182" s="6">
        <v>0.12</v>
      </c>
      <c r="K182" s="5">
        <f t="shared" si="12"/>
        <v>0.21392734167967803</v>
      </c>
      <c r="L182" s="7"/>
    </row>
    <row r="183" spans="1:12" x14ac:dyDescent="0.25">
      <c r="A183" t="s">
        <v>7</v>
      </c>
      <c r="B183">
        <v>2004</v>
      </c>
      <c r="C183">
        <v>2166995343999.6118</v>
      </c>
      <c r="D183">
        <v>466890095300.65167</v>
      </c>
      <c r="E183">
        <v>62707588</v>
      </c>
      <c r="F183" s="4">
        <v>1531</v>
      </c>
      <c r="G183">
        <f t="shared" si="10"/>
        <v>96005317228</v>
      </c>
      <c r="H183">
        <f t="shared" si="11"/>
        <v>22.571617974588666</v>
      </c>
      <c r="I183">
        <f t="shared" si="13"/>
        <v>3215242160683.7598</v>
      </c>
      <c r="J183" s="6">
        <v>0.12</v>
      </c>
      <c r="K183" s="5">
        <f t="shared" si="12"/>
        <v>0.21545505235784915</v>
      </c>
      <c r="L183" s="7"/>
    </row>
    <row r="184" spans="1:12" x14ac:dyDescent="0.25">
      <c r="A184" t="s">
        <v>7</v>
      </c>
      <c r="B184">
        <v>2005</v>
      </c>
      <c r="C184">
        <v>2207920477001.0288</v>
      </c>
      <c r="D184">
        <v>480743239145.77545</v>
      </c>
      <c r="E184">
        <v>63180854</v>
      </c>
      <c r="F184" s="4">
        <v>1532</v>
      </c>
      <c r="G184">
        <f t="shared" si="10"/>
        <v>96793068328</v>
      </c>
      <c r="H184">
        <f t="shared" si="11"/>
        <v>22.810729271636575</v>
      </c>
      <c r="I184">
        <f t="shared" si="13"/>
        <v>3310156340547.4839</v>
      </c>
      <c r="J184" s="6">
        <v>0.12</v>
      </c>
      <c r="K184" s="5">
        <f t="shared" si="12"/>
        <v>0.21773575821841135</v>
      </c>
      <c r="L184" s="7"/>
    </row>
    <row r="185" spans="1:12" x14ac:dyDescent="0.25">
      <c r="A185" t="s">
        <v>7</v>
      </c>
      <c r="B185">
        <v>2006</v>
      </c>
      <c r="C185">
        <v>2267844863251.48</v>
      </c>
      <c r="D185">
        <v>501771679410.96057</v>
      </c>
      <c r="E185">
        <v>63622342</v>
      </c>
      <c r="F185" s="4">
        <v>1515</v>
      </c>
      <c r="G185">
        <f t="shared" si="10"/>
        <v>96387848130</v>
      </c>
      <c r="H185">
        <f t="shared" si="11"/>
        <v>23.528327556320143</v>
      </c>
      <c r="I185">
        <f t="shared" si="13"/>
        <v>3414709259092.7461</v>
      </c>
      <c r="J185" s="6">
        <v>0.12</v>
      </c>
      <c r="K185" s="5">
        <f t="shared" si="12"/>
        <v>0.2212548519264915</v>
      </c>
      <c r="L185" s="7"/>
    </row>
    <row r="186" spans="1:12" x14ac:dyDescent="0.25">
      <c r="A186" t="s">
        <v>7</v>
      </c>
      <c r="B186">
        <v>2007</v>
      </c>
      <c r="C186">
        <v>2325232266173.5635</v>
      </c>
      <c r="D186">
        <v>529176468068.30969</v>
      </c>
      <c r="E186">
        <v>64016890</v>
      </c>
      <c r="F186" s="4">
        <v>1537</v>
      </c>
      <c r="G186">
        <f t="shared" si="10"/>
        <v>98393959930</v>
      </c>
      <c r="H186">
        <f t="shared" si="11"/>
        <v>23.631859799400225</v>
      </c>
      <c r="I186">
        <f t="shared" si="13"/>
        <v>3534120616069.9263</v>
      </c>
      <c r="J186" s="6">
        <v>0.12</v>
      </c>
      <c r="K186" s="5">
        <f t="shared" si="12"/>
        <v>0.22758004684802102</v>
      </c>
      <c r="L186" s="7"/>
    </row>
    <row r="187" spans="1:12" x14ac:dyDescent="0.25">
      <c r="A187" t="s">
        <v>7</v>
      </c>
      <c r="B187">
        <v>2008</v>
      </c>
      <c r="C187">
        <v>2334072134826.5815</v>
      </c>
      <c r="D187">
        <v>535559497947.10114</v>
      </c>
      <c r="E187">
        <v>64375116</v>
      </c>
      <c r="F187" s="4">
        <v>1543</v>
      </c>
      <c r="G187">
        <f t="shared" si="10"/>
        <v>99330803988</v>
      </c>
      <c r="H187">
        <f t="shared" si="11"/>
        <v>23.497968818500222</v>
      </c>
      <c r="I187">
        <f t="shared" si="13"/>
        <v>3645585640088.6362</v>
      </c>
      <c r="J187" s="6">
        <v>0.12</v>
      </c>
      <c r="K187" s="5">
        <f t="shared" si="12"/>
        <v>0.22945284764598439</v>
      </c>
      <c r="L187" s="7"/>
    </row>
    <row r="188" spans="1:12" x14ac:dyDescent="0.25">
      <c r="A188" t="s">
        <v>7</v>
      </c>
      <c r="B188">
        <v>2009</v>
      </c>
      <c r="C188">
        <v>2268145065263.8096</v>
      </c>
      <c r="D188">
        <v>486133350405.56604</v>
      </c>
      <c r="E188">
        <v>64706436</v>
      </c>
      <c r="F188" s="4">
        <v>1531</v>
      </c>
      <c r="G188">
        <f t="shared" si="10"/>
        <v>99065553516</v>
      </c>
      <c r="H188">
        <f t="shared" si="11"/>
        <v>22.89539587438416</v>
      </c>
      <c r="I188">
        <f t="shared" si="13"/>
        <v>3694248713683.5659</v>
      </c>
      <c r="J188" s="6">
        <v>0.12</v>
      </c>
      <c r="K188" s="5">
        <f t="shared" si="12"/>
        <v>0.2143308017862709</v>
      </c>
      <c r="L188" s="7"/>
    </row>
    <row r="189" spans="1:12" x14ac:dyDescent="0.25">
      <c r="A189" t="s">
        <v>7</v>
      </c>
      <c r="B189">
        <v>2010</v>
      </c>
      <c r="C189">
        <v>2313515331848.5073</v>
      </c>
      <c r="D189">
        <v>494703701734.75787</v>
      </c>
      <c r="E189">
        <v>65026211</v>
      </c>
      <c r="F189" s="4">
        <v>1540</v>
      </c>
      <c r="G189">
        <f t="shared" si="10"/>
        <v>100140364940</v>
      </c>
      <c r="H189">
        <f t="shared" si="11"/>
        <v>23.102725192130773</v>
      </c>
      <c r="I189">
        <f t="shared" si="13"/>
        <v>3745642569776.2959</v>
      </c>
      <c r="J189" s="6">
        <v>0.12</v>
      </c>
      <c r="K189" s="5">
        <f t="shared" si="12"/>
        <v>0.21383203946156162</v>
      </c>
      <c r="L189" s="7"/>
    </row>
    <row r="190" spans="1:12" x14ac:dyDescent="0.25">
      <c r="A190" t="s">
        <v>7</v>
      </c>
      <c r="B190">
        <v>2011</v>
      </c>
      <c r="C190">
        <v>2369909039492.5664</v>
      </c>
      <c r="D190">
        <v>505096717569.66571</v>
      </c>
      <c r="E190">
        <v>65340830</v>
      </c>
      <c r="F190" s="4">
        <v>1546</v>
      </c>
      <c r="G190">
        <f t="shared" si="10"/>
        <v>101016923180</v>
      </c>
      <c r="H190">
        <f t="shared" si="11"/>
        <v>23.460514979947209</v>
      </c>
      <c r="I190">
        <f t="shared" si="13"/>
        <v>3801262178972.8062</v>
      </c>
      <c r="J190" s="6">
        <v>0.12</v>
      </c>
      <c r="K190" s="5">
        <f t="shared" si="12"/>
        <v>0.21312915776624686</v>
      </c>
      <c r="L190" s="7"/>
    </row>
    <row r="191" spans="1:12" x14ac:dyDescent="0.25">
      <c r="A191" t="s">
        <v>7</v>
      </c>
      <c r="B191">
        <v>2012</v>
      </c>
      <c r="C191">
        <v>2374265768198.2349</v>
      </c>
      <c r="D191">
        <v>503827252862.6767</v>
      </c>
      <c r="E191">
        <v>65657659</v>
      </c>
      <c r="F191" s="4">
        <v>1541</v>
      </c>
      <c r="G191">
        <f t="shared" si="10"/>
        <v>101178452519</v>
      </c>
      <c r="H191">
        <f t="shared" si="11"/>
        <v>23.466120592745561</v>
      </c>
      <c r="I191">
        <f t="shared" si="13"/>
        <v>3848937970358.7461</v>
      </c>
      <c r="J191" s="6">
        <v>0.12</v>
      </c>
      <c r="K191" s="5">
        <f t="shared" si="12"/>
        <v>0.21220339340739322</v>
      </c>
      <c r="L191" s="7"/>
    </row>
    <row r="192" spans="1:12" x14ac:dyDescent="0.25">
      <c r="A192" t="s">
        <v>7</v>
      </c>
      <c r="B192">
        <v>2013</v>
      </c>
      <c r="C192">
        <v>2392826743884.2402</v>
      </c>
      <c r="D192">
        <v>501069402131.71069</v>
      </c>
      <c r="E192">
        <v>65997932</v>
      </c>
      <c r="F192" s="4">
        <v>1526</v>
      </c>
      <c r="G192">
        <f t="shared" si="10"/>
        <v>100712844232</v>
      </c>
      <c r="H192">
        <f t="shared" si="11"/>
        <v>23.758903465899291</v>
      </c>
      <c r="I192">
        <f t="shared" si="13"/>
        <v>3888134816047.4072</v>
      </c>
      <c r="J192" s="6">
        <v>0.12</v>
      </c>
      <c r="K192" s="5">
        <f t="shared" si="12"/>
        <v>0.20940479849298749</v>
      </c>
      <c r="L192" s="7"/>
    </row>
    <row r="193" spans="1:12" x14ac:dyDescent="0.25">
      <c r="A193" t="s">
        <v>7</v>
      </c>
      <c r="B193">
        <v>2014</v>
      </c>
      <c r="C193">
        <v>2416703157283.958</v>
      </c>
      <c r="D193">
        <v>499083148826.37512</v>
      </c>
      <c r="E193">
        <v>66312067</v>
      </c>
      <c r="F193" s="4">
        <v>1518</v>
      </c>
      <c r="G193">
        <f t="shared" si="10"/>
        <v>100661717706</v>
      </c>
      <c r="H193">
        <f t="shared" si="11"/>
        <v>24.008165292215246</v>
      </c>
      <c r="I193">
        <f t="shared" si="13"/>
        <v>3920641786948.0933</v>
      </c>
      <c r="J193" s="6">
        <v>0.12</v>
      </c>
      <c r="K193" s="5">
        <f t="shared" si="12"/>
        <v>0.20651404675917084</v>
      </c>
      <c r="L193" s="7"/>
    </row>
    <row r="194" spans="1:12" x14ac:dyDescent="0.25">
      <c r="A194" t="s">
        <v>7</v>
      </c>
      <c r="B194">
        <v>2015</v>
      </c>
      <c r="C194">
        <v>2442483452642.4985</v>
      </c>
      <c r="D194">
        <v>502171414715.19507</v>
      </c>
      <c r="E194">
        <v>66548272</v>
      </c>
      <c r="F194" s="4">
        <v>1519</v>
      </c>
      <c r="G194">
        <f t="shared" si="10"/>
        <v>101086825168</v>
      </c>
      <c r="H194">
        <f t="shared" si="11"/>
        <v>24.162233293836692</v>
      </c>
      <c r="I194">
        <f t="shared" si="13"/>
        <v>3952336187229.5176</v>
      </c>
      <c r="J194" s="6">
        <v>0.12</v>
      </c>
      <c r="K194" s="5">
        <f t="shared" si="12"/>
        <v>0.20559869675755665</v>
      </c>
      <c r="L194" s="7"/>
    </row>
    <row r="195" spans="1:12" x14ac:dyDescent="0.25">
      <c r="A195" t="s">
        <v>7</v>
      </c>
      <c r="B195">
        <v>2016</v>
      </c>
      <c r="C195">
        <v>2463489569508.3242</v>
      </c>
      <c r="D195">
        <v>516025915494.58411</v>
      </c>
      <c r="E195">
        <v>66724104</v>
      </c>
      <c r="F195" s="4">
        <v>1522</v>
      </c>
      <c r="G195">
        <f t="shared" ref="G195:G258" si="14">E195*F195</f>
        <v>101554086288</v>
      </c>
      <c r="H195">
        <f t="shared" ref="H195:H258" si="15">C195/G195</f>
        <v>24.257906890344589</v>
      </c>
      <c r="I195">
        <f t="shared" si="13"/>
        <v>3994081760256.5596</v>
      </c>
      <c r="J195" s="6">
        <v>0.12</v>
      </c>
      <c r="K195" s="5">
        <f t="shared" ref="K195:K258" si="16">D195/C195</f>
        <v>0.20946949476939541</v>
      </c>
      <c r="L195" s="7"/>
    </row>
    <row r="196" spans="1:12" x14ac:dyDescent="0.25">
      <c r="A196" t="s">
        <v>7</v>
      </c>
      <c r="B196">
        <v>2017</v>
      </c>
      <c r="C196">
        <v>2514819204022.0933</v>
      </c>
      <c r="D196">
        <v>535110174073.73334</v>
      </c>
      <c r="E196">
        <v>66918020</v>
      </c>
      <c r="F196" s="4">
        <v>1508</v>
      </c>
      <c r="G196">
        <f t="shared" si="14"/>
        <v>100912374160</v>
      </c>
      <c r="H196">
        <f t="shared" si="15"/>
        <v>24.920820909780222</v>
      </c>
      <c r="I196">
        <f t="shared" si="13"/>
        <v>4049902123099.5059</v>
      </c>
      <c r="J196" s="6">
        <v>0.12</v>
      </c>
      <c r="K196" s="5">
        <f t="shared" si="16"/>
        <v>0.21278276116943168</v>
      </c>
      <c r="L196" s="7"/>
    </row>
    <row r="197" spans="1:12" x14ac:dyDescent="0.25">
      <c r="A197" t="s">
        <v>7</v>
      </c>
      <c r="B197">
        <v>2018</v>
      </c>
      <c r="C197">
        <v>2556210832827.8867</v>
      </c>
      <c r="D197">
        <v>553850863110.19739</v>
      </c>
      <c r="E197">
        <v>67158348</v>
      </c>
      <c r="F197" s="4">
        <v>1514</v>
      </c>
      <c r="G197">
        <f t="shared" si="14"/>
        <v>101677738872</v>
      </c>
      <c r="H197">
        <f t="shared" si="15"/>
        <v>25.140319416876959</v>
      </c>
      <c r="I197">
        <f t="shared" si="13"/>
        <v>4117764731437.7627</v>
      </c>
      <c r="J197" s="6">
        <v>0.12</v>
      </c>
      <c r="K197" s="5">
        <f t="shared" si="16"/>
        <v>0.21666869414581225</v>
      </c>
      <c r="L197" s="7"/>
    </row>
    <row r="198" spans="1:12" x14ac:dyDescent="0.25">
      <c r="A198" t="s">
        <v>7</v>
      </c>
      <c r="B198">
        <v>2019</v>
      </c>
      <c r="C198">
        <v>2608036639287.3174</v>
      </c>
      <c r="D198">
        <v>576614587083.8844</v>
      </c>
      <c r="E198">
        <v>67382061</v>
      </c>
      <c r="F198" s="4">
        <v>1518</v>
      </c>
      <c r="G198">
        <f t="shared" si="14"/>
        <v>102285968598</v>
      </c>
      <c r="H198">
        <f t="shared" si="15"/>
        <v>25.497501514966466</v>
      </c>
      <c r="I198">
        <f t="shared" si="13"/>
        <v>4200247550749.1157</v>
      </c>
      <c r="J198" s="6">
        <v>0.12</v>
      </c>
      <c r="K198" s="5">
        <f t="shared" si="16"/>
        <v>0.2210914441913103</v>
      </c>
      <c r="L198" s="7"/>
    </row>
    <row r="199" spans="1:12" x14ac:dyDescent="0.25">
      <c r="A199" t="s">
        <v>7</v>
      </c>
      <c r="B199">
        <v>2020</v>
      </c>
      <c r="C199">
        <v>2413981867221.7646</v>
      </c>
      <c r="D199">
        <v>543003094555.34772</v>
      </c>
      <c r="E199">
        <v>67601110</v>
      </c>
      <c r="F199" s="4">
        <v>1400</v>
      </c>
      <c r="G199">
        <f t="shared" si="14"/>
        <v>94641554000</v>
      </c>
      <c r="H199">
        <f t="shared" si="15"/>
        <v>25.506574704191401</v>
      </c>
      <c r="I199">
        <f t="shared" si="13"/>
        <v>4239220939214.5693</v>
      </c>
      <c r="J199" s="6">
        <v>0.12</v>
      </c>
      <c r="K199" s="5">
        <f t="shared" si="16"/>
        <v>0.22494083403380585</v>
      </c>
      <c r="L199" s="7"/>
    </row>
    <row r="200" spans="1:12" x14ac:dyDescent="0.25">
      <c r="A200" t="s">
        <v>7</v>
      </c>
      <c r="B200">
        <v>2021</v>
      </c>
      <c r="C200">
        <v>2580120255345.6138</v>
      </c>
      <c r="D200">
        <v>595860974343.68909</v>
      </c>
      <c r="E200">
        <v>67842811</v>
      </c>
      <c r="F200" s="4">
        <v>1475</v>
      </c>
      <c r="G200">
        <f t="shared" si="14"/>
        <v>100068146225</v>
      </c>
      <c r="H200">
        <f t="shared" si="15"/>
        <v>25.783631981592791</v>
      </c>
      <c r="I200">
        <f t="shared" si="13"/>
        <v>4326375400852.5103</v>
      </c>
      <c r="J200" s="6">
        <v>0.12</v>
      </c>
      <c r="K200" s="5">
        <f t="shared" si="16"/>
        <v>0.23094310162836654</v>
      </c>
      <c r="L200" s="7"/>
    </row>
    <row r="201" spans="1:12" x14ac:dyDescent="0.25">
      <c r="A201" t="s">
        <v>7</v>
      </c>
      <c r="B201">
        <v>2022</v>
      </c>
      <c r="C201">
        <v>2646451031159.2559</v>
      </c>
      <c r="D201">
        <v>595576284431.08362</v>
      </c>
      <c r="E201">
        <v>68065015</v>
      </c>
      <c r="F201" s="4">
        <v>1501</v>
      </c>
      <c r="G201">
        <f t="shared" si="14"/>
        <v>102165587515</v>
      </c>
      <c r="H201">
        <f t="shared" si="15"/>
        <v>25.903546345981738</v>
      </c>
      <c r="I201">
        <f t="shared" si="13"/>
        <v>4402786637181.293</v>
      </c>
      <c r="J201" s="6">
        <v>0.12</v>
      </c>
      <c r="K201" s="5">
        <f t="shared" si="16"/>
        <v>0.22504715840904729</v>
      </c>
      <c r="L201" s="7"/>
    </row>
    <row r="202" spans="1:12" x14ac:dyDescent="0.25">
      <c r="A202" t="s">
        <v>8</v>
      </c>
      <c r="B202">
        <v>1980</v>
      </c>
      <c r="C202">
        <v>1877146314061.1033</v>
      </c>
      <c r="D202">
        <v>426072913465.44067</v>
      </c>
      <c r="E202">
        <v>78288576</v>
      </c>
      <c r="F202" s="4">
        <v>1746</v>
      </c>
      <c r="G202">
        <f t="shared" si="14"/>
        <v>136691853696</v>
      </c>
      <c r="H202">
        <f t="shared" si="15"/>
        <v>13.732686062154368</v>
      </c>
      <c r="I202">
        <f>D202</f>
        <v>426072913465.44067</v>
      </c>
      <c r="J202" s="6">
        <v>0.12</v>
      </c>
      <c r="K202" s="5">
        <f t="shared" si="16"/>
        <v>0.22697906405796106</v>
      </c>
      <c r="L202" s="7"/>
    </row>
    <row r="203" spans="1:12" x14ac:dyDescent="0.25">
      <c r="A203" t="s">
        <v>8</v>
      </c>
      <c r="B203">
        <v>1981</v>
      </c>
      <c r="C203">
        <v>1887080933535.7366</v>
      </c>
      <c r="D203">
        <v>406187348033.98871</v>
      </c>
      <c r="E203">
        <v>78407907</v>
      </c>
      <c r="F203" s="4">
        <v>1724</v>
      </c>
      <c r="G203">
        <f t="shared" si="14"/>
        <v>135175231668</v>
      </c>
      <c r="H203">
        <f t="shared" si="15"/>
        <v>13.960256699766877</v>
      </c>
      <c r="I203">
        <f>I202-(I202*J202)+D203</f>
        <v>781131511883.57642</v>
      </c>
      <c r="J203" s="6">
        <v>0.12</v>
      </c>
      <c r="K203" s="5">
        <f t="shared" si="16"/>
        <v>0.21524638441072805</v>
      </c>
      <c r="L203" s="7"/>
    </row>
    <row r="204" spans="1:12" x14ac:dyDescent="0.25">
      <c r="A204" t="s">
        <v>8</v>
      </c>
      <c r="B204">
        <v>1982</v>
      </c>
      <c r="C204">
        <v>1879629968652.3833</v>
      </c>
      <c r="D204">
        <v>387660069363.9848</v>
      </c>
      <c r="E204">
        <v>78333366</v>
      </c>
      <c r="F204" s="4">
        <v>1713</v>
      </c>
      <c r="G204">
        <f t="shared" si="14"/>
        <v>134185055958</v>
      </c>
      <c r="H204">
        <f t="shared" si="15"/>
        <v>14.007744418578985</v>
      </c>
      <c r="I204">
        <f t="shared" ref="I204:I244" si="17">I203-(I203*J203)+D204</f>
        <v>1075055799821.532</v>
      </c>
      <c r="J204" s="6">
        <v>0.12</v>
      </c>
      <c r="K204" s="5">
        <f t="shared" si="16"/>
        <v>0.20624275832435307</v>
      </c>
      <c r="L204" s="7"/>
    </row>
    <row r="205" spans="1:12" x14ac:dyDescent="0.25">
      <c r="A205" t="s">
        <v>8</v>
      </c>
      <c r="B205">
        <v>1983</v>
      </c>
      <c r="C205">
        <v>1909185460396.6909</v>
      </c>
      <c r="D205">
        <v>399287147568.56763</v>
      </c>
      <c r="E205">
        <v>78128282</v>
      </c>
      <c r="F205" s="4">
        <v>1700</v>
      </c>
      <c r="G205">
        <f t="shared" si="14"/>
        <v>132818079400</v>
      </c>
      <c r="H205">
        <f t="shared" si="15"/>
        <v>14.374439602058354</v>
      </c>
      <c r="I205">
        <f t="shared" si="17"/>
        <v>1345336251411.5156</v>
      </c>
      <c r="J205" s="6">
        <v>0.12</v>
      </c>
      <c r="K205" s="5">
        <f t="shared" si="16"/>
        <v>0.20914005257802648</v>
      </c>
      <c r="L205" s="7"/>
    </row>
    <row r="206" spans="1:12" x14ac:dyDescent="0.25">
      <c r="A206" t="s">
        <v>8</v>
      </c>
      <c r="B206">
        <v>1984</v>
      </c>
      <c r="C206">
        <v>1963080770242.179</v>
      </c>
      <c r="D206">
        <v>399884808877.3606</v>
      </c>
      <c r="E206">
        <v>77858685</v>
      </c>
      <c r="F206" s="4">
        <v>1689</v>
      </c>
      <c r="G206">
        <f t="shared" si="14"/>
        <v>131503318965</v>
      </c>
      <c r="H206">
        <f t="shared" si="15"/>
        <v>14.927994104579662</v>
      </c>
      <c r="I206">
        <f t="shared" si="17"/>
        <v>1583780710119.4944</v>
      </c>
      <c r="J206" s="6">
        <v>0.12</v>
      </c>
      <c r="K206" s="5">
        <f t="shared" si="16"/>
        <v>0.20370267741353715</v>
      </c>
      <c r="L206" s="7"/>
    </row>
    <row r="207" spans="1:12" x14ac:dyDescent="0.25">
      <c r="A207" t="s">
        <v>8</v>
      </c>
      <c r="B207">
        <v>1985</v>
      </c>
      <c r="C207">
        <v>2008780019603.5889</v>
      </c>
      <c r="D207">
        <v>402601417904.66925</v>
      </c>
      <c r="E207">
        <v>77684873</v>
      </c>
      <c r="F207" s="4">
        <v>1666</v>
      </c>
      <c r="G207">
        <f t="shared" si="14"/>
        <v>129422998418</v>
      </c>
      <c r="H207">
        <f t="shared" si="15"/>
        <v>15.521043741513333</v>
      </c>
      <c r="I207">
        <f t="shared" si="17"/>
        <v>1796328442809.8242</v>
      </c>
      <c r="J207" s="6">
        <v>0.12</v>
      </c>
      <c r="K207" s="5">
        <f t="shared" si="16"/>
        <v>0.20042085941501864</v>
      </c>
      <c r="L207" s="7"/>
    </row>
    <row r="208" spans="1:12" x14ac:dyDescent="0.25">
      <c r="A208" t="s">
        <v>8</v>
      </c>
      <c r="B208">
        <v>1986</v>
      </c>
      <c r="C208">
        <v>2054727633425.5657</v>
      </c>
      <c r="D208">
        <v>415423817617.32507</v>
      </c>
      <c r="E208">
        <v>77720436</v>
      </c>
      <c r="F208" s="4">
        <v>1647</v>
      </c>
      <c r="G208">
        <f t="shared" si="14"/>
        <v>128005558092</v>
      </c>
      <c r="H208">
        <f t="shared" si="15"/>
        <v>16.051862622627638</v>
      </c>
      <c r="I208">
        <f t="shared" si="17"/>
        <v>1996192847289.9702</v>
      </c>
      <c r="J208" s="6">
        <v>0.12</v>
      </c>
      <c r="K208" s="5">
        <f t="shared" si="16"/>
        <v>0.20217950586703595</v>
      </c>
      <c r="L208" s="7"/>
    </row>
    <row r="209" spans="1:12" x14ac:dyDescent="0.25">
      <c r="A209" t="s">
        <v>8</v>
      </c>
      <c r="B209">
        <v>1987</v>
      </c>
      <c r="C209">
        <v>2083538029569.1482</v>
      </c>
      <c r="D209">
        <v>424062627001.38129</v>
      </c>
      <c r="E209">
        <v>77839920</v>
      </c>
      <c r="F209" s="4">
        <v>1624</v>
      </c>
      <c r="G209">
        <f t="shared" si="14"/>
        <v>126412030080</v>
      </c>
      <c r="H209">
        <f t="shared" si="15"/>
        <v>16.482118262404128</v>
      </c>
      <c r="I209">
        <f t="shared" si="17"/>
        <v>2180712332616.5552</v>
      </c>
      <c r="J209" s="6">
        <v>0.12</v>
      </c>
      <c r="K209" s="5">
        <f t="shared" si="16"/>
        <v>0.20353006327850545</v>
      </c>
      <c r="L209" s="7"/>
    </row>
    <row r="210" spans="1:12" x14ac:dyDescent="0.25">
      <c r="A210" t="s">
        <v>8</v>
      </c>
      <c r="B210">
        <v>1988</v>
      </c>
      <c r="C210">
        <v>2160779694125.9871</v>
      </c>
      <c r="D210">
        <v>445469496594.76208</v>
      </c>
      <c r="E210">
        <v>78144619</v>
      </c>
      <c r="F210" s="4">
        <v>1619</v>
      </c>
      <c r="G210">
        <f t="shared" si="14"/>
        <v>126516138161</v>
      </c>
      <c r="H210">
        <f t="shared" si="15"/>
        <v>17.079083550402515</v>
      </c>
      <c r="I210">
        <f t="shared" si="17"/>
        <v>2364496349297.3306</v>
      </c>
      <c r="J210" s="6">
        <v>0.12</v>
      </c>
      <c r="K210" s="5">
        <f t="shared" si="16"/>
        <v>0.20616146005340441</v>
      </c>
      <c r="L210" s="7"/>
    </row>
    <row r="211" spans="1:12" x14ac:dyDescent="0.25">
      <c r="A211" t="s">
        <v>8</v>
      </c>
      <c r="B211">
        <v>1989</v>
      </c>
      <c r="C211">
        <v>2244975592426.0205</v>
      </c>
      <c r="D211">
        <v>477688479436.73944</v>
      </c>
      <c r="E211">
        <v>78751283</v>
      </c>
      <c r="F211" s="4">
        <v>1596</v>
      </c>
      <c r="G211">
        <f t="shared" si="14"/>
        <v>125687047668</v>
      </c>
      <c r="H211">
        <f t="shared" si="15"/>
        <v>17.861630407264254</v>
      </c>
      <c r="I211">
        <f t="shared" si="17"/>
        <v>2558445266818.3901</v>
      </c>
      <c r="J211" s="6">
        <v>0.12</v>
      </c>
      <c r="K211" s="5">
        <f t="shared" si="16"/>
        <v>0.21278114606160506</v>
      </c>
      <c r="L211" s="7"/>
    </row>
    <row r="212" spans="1:12" x14ac:dyDescent="0.25">
      <c r="A212" t="s">
        <v>8</v>
      </c>
      <c r="B212">
        <v>1990</v>
      </c>
      <c r="C212">
        <v>2362949197161.71</v>
      </c>
      <c r="D212">
        <v>515884002138.79559</v>
      </c>
      <c r="E212">
        <v>79433029</v>
      </c>
      <c r="F212" s="4">
        <v>1573</v>
      </c>
      <c r="G212">
        <f t="shared" si="14"/>
        <v>124948154617</v>
      </c>
      <c r="H212">
        <f t="shared" si="15"/>
        <v>18.911437342990702</v>
      </c>
      <c r="I212">
        <f t="shared" si="17"/>
        <v>2767315836938.979</v>
      </c>
      <c r="J212" s="6">
        <v>0.12</v>
      </c>
      <c r="K212" s="5">
        <f t="shared" si="16"/>
        <v>0.21832208782078641</v>
      </c>
      <c r="L212" s="7"/>
    </row>
    <row r="213" spans="1:12" x14ac:dyDescent="0.25">
      <c r="A213" t="s">
        <v>8</v>
      </c>
      <c r="B213">
        <v>1991</v>
      </c>
      <c r="C213">
        <v>2483654820949.2451</v>
      </c>
      <c r="D213">
        <v>543321751095.58661</v>
      </c>
      <c r="E213">
        <v>80013896</v>
      </c>
      <c r="F213" s="4">
        <v>1554.1</v>
      </c>
      <c r="G213">
        <f t="shared" si="14"/>
        <v>124349595773.59999</v>
      </c>
      <c r="H213">
        <f t="shared" si="15"/>
        <v>19.973163607794667</v>
      </c>
      <c r="I213">
        <f t="shared" si="17"/>
        <v>2978559687601.8882</v>
      </c>
      <c r="J213" s="6">
        <v>0.12</v>
      </c>
      <c r="K213" s="5">
        <f t="shared" si="16"/>
        <v>0.21875896220068566</v>
      </c>
      <c r="L213" s="7"/>
    </row>
    <row r="214" spans="1:12" x14ac:dyDescent="0.25">
      <c r="A214" t="s">
        <v>8</v>
      </c>
      <c r="B214">
        <v>1992</v>
      </c>
      <c r="C214">
        <v>2533680205307.8779</v>
      </c>
      <c r="D214">
        <v>565054616656.97803</v>
      </c>
      <c r="E214">
        <v>80624598</v>
      </c>
      <c r="F214" s="4">
        <v>1565.1</v>
      </c>
      <c r="G214">
        <f t="shared" si="14"/>
        <v>126185558329.79999</v>
      </c>
      <c r="H214">
        <f t="shared" si="15"/>
        <v>20.079003008298486</v>
      </c>
      <c r="I214">
        <f t="shared" si="17"/>
        <v>3186187141746.6396</v>
      </c>
      <c r="J214" s="6">
        <v>0.12</v>
      </c>
      <c r="K214" s="5">
        <f t="shared" si="16"/>
        <v>0.22301733876012814</v>
      </c>
      <c r="L214" s="7"/>
    </row>
    <row r="215" spans="1:12" x14ac:dyDescent="0.25">
      <c r="A215" t="s">
        <v>8</v>
      </c>
      <c r="B215">
        <v>1993</v>
      </c>
      <c r="C215">
        <v>2509019802333.0542</v>
      </c>
      <c r="D215">
        <v>540956271831.79993</v>
      </c>
      <c r="E215">
        <v>81156363</v>
      </c>
      <c r="F215" s="4">
        <v>1540.2</v>
      </c>
      <c r="G215">
        <f t="shared" si="14"/>
        <v>124997030292.60001</v>
      </c>
      <c r="H215">
        <f t="shared" si="15"/>
        <v>20.072635297493076</v>
      </c>
      <c r="I215">
        <f t="shared" si="17"/>
        <v>3344800956568.8428</v>
      </c>
      <c r="J215" s="6">
        <v>0.12</v>
      </c>
      <c r="K215" s="5">
        <f t="shared" si="16"/>
        <v>0.21560462429542512</v>
      </c>
      <c r="L215" s="7"/>
    </row>
    <row r="216" spans="1:12" x14ac:dyDescent="0.25">
      <c r="A216" t="s">
        <v>8</v>
      </c>
      <c r="B216">
        <v>1994</v>
      </c>
      <c r="C216">
        <v>2574193723450.5405</v>
      </c>
      <c r="D216">
        <v>560323658129.40466</v>
      </c>
      <c r="E216">
        <v>81438348</v>
      </c>
      <c r="F216" s="4">
        <v>1536.6</v>
      </c>
      <c r="G216">
        <f t="shared" si="14"/>
        <v>125138165536.79999</v>
      </c>
      <c r="H216">
        <f t="shared" si="15"/>
        <v>20.570812368937396</v>
      </c>
      <c r="I216">
        <f t="shared" si="17"/>
        <v>3503748499909.9863</v>
      </c>
      <c r="J216" s="6">
        <v>0.12</v>
      </c>
      <c r="K216" s="5">
        <f t="shared" si="16"/>
        <v>0.21766957670082693</v>
      </c>
      <c r="L216" s="7"/>
    </row>
    <row r="217" spans="1:12" x14ac:dyDescent="0.25">
      <c r="A217" t="s">
        <v>8</v>
      </c>
      <c r="B217">
        <v>1995</v>
      </c>
      <c r="C217">
        <v>2612945784475.6113</v>
      </c>
      <c r="D217">
        <v>559214832027.25891</v>
      </c>
      <c r="E217">
        <v>81678051</v>
      </c>
      <c r="F217" s="4">
        <v>1530.6</v>
      </c>
      <c r="G217">
        <f t="shared" si="14"/>
        <v>125016424860.59999</v>
      </c>
      <c r="H217">
        <f t="shared" si="15"/>
        <v>20.900819931374503</v>
      </c>
      <c r="I217">
        <f t="shared" si="17"/>
        <v>3642513511948.0469</v>
      </c>
      <c r="J217" s="6">
        <v>0.12</v>
      </c>
      <c r="K217" s="5">
        <f t="shared" si="16"/>
        <v>0.21401700538516416</v>
      </c>
      <c r="L217" s="7"/>
    </row>
    <row r="218" spans="1:12" x14ac:dyDescent="0.25">
      <c r="A218" t="s">
        <v>8</v>
      </c>
      <c r="B218">
        <v>1996</v>
      </c>
      <c r="C218">
        <v>2640072232962.6284</v>
      </c>
      <c r="D218">
        <v>556701515718.36084</v>
      </c>
      <c r="E218">
        <v>81914831</v>
      </c>
      <c r="F218" s="4">
        <v>1516.8</v>
      </c>
      <c r="G218">
        <f t="shared" si="14"/>
        <v>124248415660.8</v>
      </c>
      <c r="H218">
        <f t="shared" si="15"/>
        <v>21.248337203510623</v>
      </c>
      <c r="I218">
        <f t="shared" si="17"/>
        <v>3762113406232.6421</v>
      </c>
      <c r="J218" s="6">
        <v>0.12</v>
      </c>
      <c r="K218" s="5">
        <f t="shared" si="16"/>
        <v>0.21086601675805028</v>
      </c>
      <c r="L218" s="7"/>
    </row>
    <row r="219" spans="1:12" x14ac:dyDescent="0.25">
      <c r="A219" t="s">
        <v>8</v>
      </c>
      <c r="B219">
        <v>1997</v>
      </c>
      <c r="C219">
        <v>2689040748598.2705</v>
      </c>
      <c r="D219">
        <v>559584440727.97412</v>
      </c>
      <c r="E219">
        <v>82034771</v>
      </c>
      <c r="F219" s="4">
        <v>1507.7</v>
      </c>
      <c r="G219">
        <f t="shared" si="14"/>
        <v>123683824236.7</v>
      </c>
      <c r="H219">
        <f t="shared" si="15"/>
        <v>21.741248422688784</v>
      </c>
      <c r="I219">
        <f t="shared" si="17"/>
        <v>3870244238212.6992</v>
      </c>
      <c r="J219" s="6">
        <v>0.12</v>
      </c>
      <c r="K219" s="5">
        <f t="shared" si="16"/>
        <v>0.20809816326497524</v>
      </c>
      <c r="L219" s="7"/>
    </row>
    <row r="220" spans="1:12" x14ac:dyDescent="0.25">
      <c r="A220" t="s">
        <v>8</v>
      </c>
      <c r="B220">
        <v>1998</v>
      </c>
      <c r="C220">
        <v>2745407383018.2852</v>
      </c>
      <c r="D220">
        <v>582130447206.15955</v>
      </c>
      <c r="E220">
        <v>82047195</v>
      </c>
      <c r="F220" s="4">
        <v>1504.5</v>
      </c>
      <c r="G220">
        <f t="shared" si="14"/>
        <v>123440004877.5</v>
      </c>
      <c r="H220">
        <f t="shared" si="15"/>
        <v>22.240823675783115</v>
      </c>
      <c r="I220">
        <f t="shared" si="17"/>
        <v>3987945376833.335</v>
      </c>
      <c r="J220" s="6">
        <v>0.12</v>
      </c>
      <c r="K220" s="5">
        <f t="shared" si="16"/>
        <v>0.21203791131579483</v>
      </c>
      <c r="L220" s="7"/>
    </row>
    <row r="221" spans="1:12" x14ac:dyDescent="0.25">
      <c r="A221" t="s">
        <v>8</v>
      </c>
      <c r="B221">
        <v>1999</v>
      </c>
      <c r="C221">
        <v>2803887763760.3843</v>
      </c>
      <c r="D221">
        <v>607115856463.49548</v>
      </c>
      <c r="E221">
        <v>82100243</v>
      </c>
      <c r="F221" s="4">
        <v>1491.5</v>
      </c>
      <c r="G221">
        <f t="shared" si="14"/>
        <v>122452512434.5</v>
      </c>
      <c r="H221">
        <f t="shared" si="15"/>
        <v>22.89775610165767</v>
      </c>
      <c r="I221">
        <f t="shared" si="17"/>
        <v>4116507788076.8306</v>
      </c>
      <c r="J221" s="6">
        <v>0.12</v>
      </c>
      <c r="K221" s="5">
        <f t="shared" si="16"/>
        <v>0.21652644742429805</v>
      </c>
      <c r="L221" s="7"/>
    </row>
    <row r="222" spans="1:12" x14ac:dyDescent="0.25">
      <c r="A222" t="s">
        <v>8</v>
      </c>
      <c r="B222">
        <v>2000</v>
      </c>
      <c r="C222">
        <v>2884562510841.2173</v>
      </c>
      <c r="D222">
        <v>619756404794.35217</v>
      </c>
      <c r="E222">
        <v>82211508</v>
      </c>
      <c r="F222" s="4">
        <v>1465.9</v>
      </c>
      <c r="G222">
        <f t="shared" si="14"/>
        <v>120513849577.20001</v>
      </c>
      <c r="H222">
        <f t="shared" si="15"/>
        <v>23.935527086398434</v>
      </c>
      <c r="I222">
        <f t="shared" si="17"/>
        <v>4242283258301.9629</v>
      </c>
      <c r="J222" s="6">
        <v>0.12</v>
      </c>
      <c r="K222" s="5">
        <f t="shared" si="16"/>
        <v>0.21485282515635767</v>
      </c>
      <c r="L222" s="7"/>
    </row>
    <row r="223" spans="1:12" x14ac:dyDescent="0.25">
      <c r="A223" t="s">
        <v>8</v>
      </c>
      <c r="B223">
        <v>2001</v>
      </c>
      <c r="C223">
        <v>2931769559373.6519</v>
      </c>
      <c r="D223">
        <v>603567627582.19958</v>
      </c>
      <c r="E223">
        <v>82349925</v>
      </c>
      <c r="F223" s="4">
        <v>1458.2</v>
      </c>
      <c r="G223">
        <f t="shared" si="14"/>
        <v>120082660635</v>
      </c>
      <c r="H223">
        <f t="shared" si="15"/>
        <v>24.414595278538833</v>
      </c>
      <c r="I223">
        <f t="shared" si="17"/>
        <v>4336776894887.9272</v>
      </c>
      <c r="J223" s="6">
        <v>0.12</v>
      </c>
      <c r="K223" s="5">
        <f t="shared" si="16"/>
        <v>0.20587144226681539</v>
      </c>
      <c r="L223" s="7"/>
    </row>
    <row r="224" spans="1:12" x14ac:dyDescent="0.25">
      <c r="A224" t="s">
        <v>8</v>
      </c>
      <c r="B224">
        <v>2002</v>
      </c>
      <c r="C224">
        <v>2925076028983.8804</v>
      </c>
      <c r="D224">
        <v>566902650174.93823</v>
      </c>
      <c r="E224">
        <v>82488495</v>
      </c>
      <c r="F224" s="4">
        <v>1448.9</v>
      </c>
      <c r="G224">
        <f t="shared" si="14"/>
        <v>119517580405.5</v>
      </c>
      <c r="H224">
        <f t="shared" si="15"/>
        <v>24.474023144207436</v>
      </c>
      <c r="I224">
        <f t="shared" si="17"/>
        <v>4383266317676.3145</v>
      </c>
      <c r="J224" s="6">
        <v>0.12</v>
      </c>
      <c r="K224" s="5">
        <f t="shared" si="16"/>
        <v>0.19380783424349834</v>
      </c>
      <c r="L224" s="7"/>
    </row>
    <row r="225" spans="1:12" x14ac:dyDescent="0.25">
      <c r="A225" t="s">
        <v>8</v>
      </c>
      <c r="B225">
        <v>2003</v>
      </c>
      <c r="C225">
        <v>2909575203020.5342</v>
      </c>
      <c r="D225">
        <v>557736407210.01404</v>
      </c>
      <c r="E225">
        <v>82534176</v>
      </c>
      <c r="F225" s="4">
        <v>1443.4</v>
      </c>
      <c r="G225">
        <f t="shared" si="14"/>
        <v>119129829638.40001</v>
      </c>
      <c r="H225">
        <f t="shared" si="15"/>
        <v>24.423565549049261</v>
      </c>
      <c r="I225">
        <f t="shared" si="17"/>
        <v>4415010766765.1709</v>
      </c>
      <c r="J225" s="6">
        <v>0.12</v>
      </c>
      <c r="K225" s="5">
        <f t="shared" si="16"/>
        <v>0.19168997819028974</v>
      </c>
      <c r="L225" s="7"/>
    </row>
    <row r="226" spans="1:12" x14ac:dyDescent="0.25">
      <c r="A226" t="s">
        <v>8</v>
      </c>
      <c r="B226">
        <v>2004</v>
      </c>
      <c r="C226">
        <v>2943395181897.3223</v>
      </c>
      <c r="D226">
        <v>555223080915.5</v>
      </c>
      <c r="E226">
        <v>82516260</v>
      </c>
      <c r="F226" s="4">
        <v>1442.6</v>
      </c>
      <c r="G226">
        <f t="shared" si="14"/>
        <v>119037956676</v>
      </c>
      <c r="H226">
        <f t="shared" si="15"/>
        <v>24.726526429790095</v>
      </c>
      <c r="I226">
        <f t="shared" si="17"/>
        <v>4440432555668.8506</v>
      </c>
      <c r="J226" s="6">
        <v>0.12</v>
      </c>
      <c r="K226" s="5">
        <f t="shared" si="16"/>
        <v>0.18863354955877903</v>
      </c>
      <c r="L226" s="7"/>
    </row>
    <row r="227" spans="1:12" x14ac:dyDescent="0.25">
      <c r="A227" t="s">
        <v>8</v>
      </c>
      <c r="B227">
        <v>2005</v>
      </c>
      <c r="C227">
        <v>2969464751675.7329</v>
      </c>
      <c r="D227">
        <v>560175811098.67737</v>
      </c>
      <c r="E227">
        <v>82469422</v>
      </c>
      <c r="F227" s="4">
        <v>1432.4</v>
      </c>
      <c r="G227">
        <f t="shared" si="14"/>
        <v>118129200072.8</v>
      </c>
      <c r="H227">
        <f t="shared" si="15"/>
        <v>25.137432149254611</v>
      </c>
      <c r="I227">
        <f t="shared" si="17"/>
        <v>4467756460087.2656</v>
      </c>
      <c r="J227" s="6">
        <v>0.12</v>
      </c>
      <c r="K227" s="5">
        <f t="shared" si="16"/>
        <v>0.18864538155657787</v>
      </c>
      <c r="L227" s="7"/>
    </row>
    <row r="228" spans="1:12" x14ac:dyDescent="0.25">
      <c r="A228" t="s">
        <v>8</v>
      </c>
      <c r="B228">
        <v>2006</v>
      </c>
      <c r="C228">
        <v>3083959477633.3545</v>
      </c>
      <c r="D228">
        <v>602384887950.30627</v>
      </c>
      <c r="E228">
        <v>82376451</v>
      </c>
      <c r="F228" s="4">
        <v>1453.2</v>
      </c>
      <c r="G228">
        <f t="shared" si="14"/>
        <v>119709458593.2</v>
      </c>
      <c r="H228">
        <f t="shared" si="15"/>
        <v>25.762036800394789</v>
      </c>
      <c r="I228">
        <f t="shared" si="17"/>
        <v>4534010572827.1006</v>
      </c>
      <c r="J228" s="6">
        <v>0.12</v>
      </c>
      <c r="K228" s="5">
        <f t="shared" si="16"/>
        <v>0.19532840568079687</v>
      </c>
      <c r="L228" s="7"/>
    </row>
    <row r="229" spans="1:12" x14ac:dyDescent="0.25">
      <c r="A229" t="s">
        <v>8</v>
      </c>
      <c r="B229">
        <v>2007</v>
      </c>
      <c r="C229">
        <v>3173089212221.5513</v>
      </c>
      <c r="D229">
        <v>624191678136.57422</v>
      </c>
      <c r="E229">
        <v>82266372</v>
      </c>
      <c r="F229" s="4">
        <v>1454.1</v>
      </c>
      <c r="G229">
        <f t="shared" si="14"/>
        <v>119623531525.2</v>
      </c>
      <c r="H229">
        <f t="shared" si="15"/>
        <v>26.525627288917697</v>
      </c>
      <c r="I229">
        <f t="shared" si="17"/>
        <v>4614120982224.4229</v>
      </c>
      <c r="J229" s="6">
        <v>0.12</v>
      </c>
      <c r="K229" s="5">
        <f t="shared" si="16"/>
        <v>0.19671419124694686</v>
      </c>
      <c r="L229" s="7"/>
    </row>
    <row r="230" spans="1:12" x14ac:dyDescent="0.25">
      <c r="A230" t="s">
        <v>8</v>
      </c>
      <c r="B230">
        <v>2008</v>
      </c>
      <c r="C230">
        <v>3201977117826.1597</v>
      </c>
      <c r="D230">
        <v>634023223863.66833</v>
      </c>
      <c r="E230">
        <v>82110097</v>
      </c>
      <c r="F230" s="4">
        <v>1447.3</v>
      </c>
      <c r="G230">
        <f t="shared" si="14"/>
        <v>118837943388.09999</v>
      </c>
      <c r="H230">
        <f t="shared" si="15"/>
        <v>26.944063710099467</v>
      </c>
      <c r="I230">
        <f t="shared" si="17"/>
        <v>4694449688221.1602</v>
      </c>
      <c r="J230" s="6">
        <v>0.12</v>
      </c>
      <c r="K230" s="5">
        <f t="shared" si="16"/>
        <v>0.19800991716458932</v>
      </c>
      <c r="L230" s="7"/>
    </row>
    <row r="231" spans="1:12" x14ac:dyDescent="0.25">
      <c r="A231" t="s">
        <v>8</v>
      </c>
      <c r="B231">
        <v>2009</v>
      </c>
      <c r="C231">
        <v>3024422218182.6489</v>
      </c>
      <c r="D231">
        <v>572742433695.14453</v>
      </c>
      <c r="E231">
        <v>81902307</v>
      </c>
      <c r="F231" s="4">
        <v>1405</v>
      </c>
      <c r="G231">
        <f t="shared" si="14"/>
        <v>115072741335</v>
      </c>
      <c r="H231">
        <f t="shared" si="15"/>
        <v>26.282698952812332</v>
      </c>
      <c r="I231">
        <f t="shared" si="17"/>
        <v>4703858159329.7656</v>
      </c>
      <c r="J231" s="6">
        <v>0.12</v>
      </c>
      <c r="K231" s="5">
        <f t="shared" si="16"/>
        <v>0.18937251229403443</v>
      </c>
      <c r="L231" s="7"/>
    </row>
    <row r="232" spans="1:12" x14ac:dyDescent="0.25">
      <c r="A232" t="s">
        <v>8</v>
      </c>
      <c r="B232">
        <v>2010</v>
      </c>
      <c r="C232">
        <v>3149837977159.8262</v>
      </c>
      <c r="D232">
        <v>605415661100.15979</v>
      </c>
      <c r="E232">
        <v>81776930</v>
      </c>
      <c r="F232" s="4">
        <v>1425.7</v>
      </c>
      <c r="G232">
        <f t="shared" si="14"/>
        <v>116589369101</v>
      </c>
      <c r="H232">
        <f t="shared" si="15"/>
        <v>27.016511037392771</v>
      </c>
      <c r="I232">
        <f t="shared" si="17"/>
        <v>4744810841310.3535</v>
      </c>
      <c r="J232" s="6">
        <v>0.12</v>
      </c>
      <c r="K232" s="5">
        <f t="shared" si="16"/>
        <v>0.19220533420771577</v>
      </c>
      <c r="L232" s="7"/>
    </row>
    <row r="233" spans="1:12" x14ac:dyDescent="0.25">
      <c r="A233" t="s">
        <v>8</v>
      </c>
      <c r="B233">
        <v>2011</v>
      </c>
      <c r="C233">
        <v>3268207907666.6367</v>
      </c>
      <c r="D233">
        <v>650507674056.53088</v>
      </c>
      <c r="E233">
        <v>80274983</v>
      </c>
      <c r="F233" s="4">
        <v>1426.9</v>
      </c>
      <c r="G233">
        <f t="shared" si="14"/>
        <v>114544373242.70001</v>
      </c>
      <c r="H233">
        <f t="shared" si="15"/>
        <v>28.532243139886592</v>
      </c>
      <c r="I233">
        <f t="shared" si="17"/>
        <v>4825941214409.6426</v>
      </c>
      <c r="J233" s="6">
        <v>0.12</v>
      </c>
      <c r="K233" s="5">
        <f t="shared" si="16"/>
        <v>0.19904109298877687</v>
      </c>
      <c r="L233" s="7"/>
    </row>
    <row r="234" spans="1:12" x14ac:dyDescent="0.25">
      <c r="A234" t="s">
        <v>8</v>
      </c>
      <c r="B234">
        <v>2012</v>
      </c>
      <c r="C234">
        <v>3283708733629.9829</v>
      </c>
      <c r="D234">
        <v>649103173864.1626</v>
      </c>
      <c r="E234">
        <v>80425823</v>
      </c>
      <c r="F234" s="4">
        <v>1408</v>
      </c>
      <c r="G234">
        <f t="shared" si="14"/>
        <v>113239558784</v>
      </c>
      <c r="H234">
        <f t="shared" si="15"/>
        <v>28.997894100713761</v>
      </c>
      <c r="I234">
        <f t="shared" si="17"/>
        <v>4895931442544.6484</v>
      </c>
      <c r="J234" s="6">
        <v>0.12</v>
      </c>
      <c r="K234" s="5">
        <f t="shared" si="16"/>
        <v>0.19767379707475155</v>
      </c>
      <c r="L234" s="7"/>
    </row>
    <row r="235" spans="1:12" x14ac:dyDescent="0.25">
      <c r="A235" t="s">
        <v>8</v>
      </c>
      <c r="B235">
        <v>2013</v>
      </c>
      <c r="C235">
        <v>3296391223767.1309</v>
      </c>
      <c r="D235">
        <v>641637117386.47119</v>
      </c>
      <c r="E235">
        <v>80645605</v>
      </c>
      <c r="F235" s="4">
        <v>1396.5</v>
      </c>
      <c r="G235">
        <f t="shared" si="14"/>
        <v>112621587382.5</v>
      </c>
      <c r="H235">
        <f t="shared" si="15"/>
        <v>29.269621396575602</v>
      </c>
      <c r="I235">
        <f t="shared" si="17"/>
        <v>4950056786825.7617</v>
      </c>
      <c r="J235" s="6">
        <v>0.12</v>
      </c>
      <c r="K235" s="5">
        <f t="shared" si="16"/>
        <v>0.19464835143360362</v>
      </c>
      <c r="L235" s="7"/>
    </row>
    <row r="236" spans="1:12" x14ac:dyDescent="0.25">
      <c r="A236" t="s">
        <v>8</v>
      </c>
      <c r="B236">
        <v>2014</v>
      </c>
      <c r="C236">
        <v>3367906396055.5122</v>
      </c>
      <c r="D236">
        <v>664700569610.48328</v>
      </c>
      <c r="E236">
        <v>80982500</v>
      </c>
      <c r="F236" s="4">
        <v>1400.4</v>
      </c>
      <c r="G236">
        <f t="shared" si="14"/>
        <v>113407893000</v>
      </c>
      <c r="H236">
        <f t="shared" si="15"/>
        <v>29.697283909996568</v>
      </c>
      <c r="I236">
        <f t="shared" si="17"/>
        <v>5020750542017.1533</v>
      </c>
      <c r="J236" s="6">
        <v>0.12</v>
      </c>
      <c r="K236" s="5">
        <f t="shared" si="16"/>
        <v>0.1973631364544394</v>
      </c>
      <c r="L236" s="7"/>
    </row>
    <row r="237" spans="1:12" x14ac:dyDescent="0.25">
      <c r="A237" t="s">
        <v>8</v>
      </c>
      <c r="B237">
        <v>2015</v>
      </c>
      <c r="C237">
        <v>3423568450957.0293</v>
      </c>
      <c r="D237">
        <v>676380138869.92151</v>
      </c>
      <c r="E237">
        <v>81686611</v>
      </c>
      <c r="F237" s="4">
        <v>1401</v>
      </c>
      <c r="G237">
        <f t="shared" si="14"/>
        <v>114442942011</v>
      </c>
      <c r="H237">
        <f t="shared" si="15"/>
        <v>29.915068511852514</v>
      </c>
      <c r="I237">
        <f t="shared" si="17"/>
        <v>5094640615845.0166</v>
      </c>
      <c r="J237" s="6">
        <v>0.12</v>
      </c>
      <c r="K237" s="5">
        <f t="shared" si="16"/>
        <v>0.19756582891773208</v>
      </c>
      <c r="L237" s="7"/>
    </row>
    <row r="238" spans="1:12" x14ac:dyDescent="0.25">
      <c r="A238" t="s">
        <v>8</v>
      </c>
      <c r="B238">
        <v>2016</v>
      </c>
      <c r="C238">
        <v>3502129441730.1626</v>
      </c>
      <c r="D238">
        <v>702030842013.32422</v>
      </c>
      <c r="E238">
        <v>82348669</v>
      </c>
      <c r="F238" s="4">
        <v>1395.6</v>
      </c>
      <c r="G238">
        <f t="shared" si="14"/>
        <v>114925802456.39999</v>
      </c>
      <c r="H238">
        <f t="shared" si="15"/>
        <v>30.472960526499556</v>
      </c>
      <c r="I238">
        <f t="shared" si="17"/>
        <v>5185314583956.9385</v>
      </c>
      <c r="J238" s="6">
        <v>0.12</v>
      </c>
      <c r="K238" s="5">
        <f t="shared" si="16"/>
        <v>0.20045827936802324</v>
      </c>
      <c r="L238" s="7"/>
    </row>
    <row r="239" spans="1:12" x14ac:dyDescent="0.25">
      <c r="A239" t="s">
        <v>8</v>
      </c>
      <c r="B239">
        <v>2017</v>
      </c>
      <c r="C239">
        <v>3597248136065.7354</v>
      </c>
      <c r="D239">
        <v>720585087394.13477</v>
      </c>
      <c r="E239">
        <v>82657002</v>
      </c>
      <c r="F239" s="4">
        <v>1389.1</v>
      </c>
      <c r="G239">
        <f t="shared" si="14"/>
        <v>114818841478.2</v>
      </c>
      <c r="H239">
        <f t="shared" si="15"/>
        <v>31.329772097976832</v>
      </c>
      <c r="I239">
        <f t="shared" si="17"/>
        <v>5283661921276.2402</v>
      </c>
      <c r="J239" s="6">
        <v>0.12</v>
      </c>
      <c r="K239" s="5">
        <f t="shared" si="16"/>
        <v>0.20031564688840997</v>
      </c>
      <c r="L239" s="7"/>
    </row>
    <row r="240" spans="1:12" x14ac:dyDescent="0.25">
      <c r="A240" t="s">
        <v>8</v>
      </c>
      <c r="B240">
        <v>2018</v>
      </c>
      <c r="C240">
        <v>3637409365003.9058</v>
      </c>
      <c r="D240">
        <v>746605399238.25281</v>
      </c>
      <c r="E240">
        <v>82905782</v>
      </c>
      <c r="F240" s="4">
        <v>1380.7</v>
      </c>
      <c r="G240">
        <f t="shared" si="14"/>
        <v>114468013207.40001</v>
      </c>
      <c r="H240">
        <f t="shared" si="15"/>
        <v>31.776644523509194</v>
      </c>
      <c r="I240">
        <f t="shared" si="17"/>
        <v>5396227889961.3447</v>
      </c>
      <c r="J240" s="6">
        <v>0.12</v>
      </c>
      <c r="K240" s="5">
        <f t="shared" si="16"/>
        <v>0.20525745779990071</v>
      </c>
      <c r="L240" s="7"/>
    </row>
    <row r="241" spans="1:12" x14ac:dyDescent="0.25">
      <c r="A241" t="s">
        <v>8</v>
      </c>
      <c r="B241">
        <v>2019</v>
      </c>
      <c r="C241">
        <v>3673343090202.7778</v>
      </c>
      <c r="D241">
        <v>761759272754.1106</v>
      </c>
      <c r="E241">
        <v>83092962</v>
      </c>
      <c r="F241" s="4">
        <v>1373.1</v>
      </c>
      <c r="G241">
        <f t="shared" si="14"/>
        <v>114094946122.2</v>
      </c>
      <c r="H241">
        <f t="shared" si="15"/>
        <v>32.19549344690946</v>
      </c>
      <c r="I241">
        <f t="shared" si="17"/>
        <v>5510439815920.0938</v>
      </c>
      <c r="J241" s="6">
        <v>0.12</v>
      </c>
      <c r="K241" s="5">
        <f t="shared" si="16"/>
        <v>0.20737493178511118</v>
      </c>
      <c r="L241" s="7"/>
    </row>
    <row r="242" spans="1:12" x14ac:dyDescent="0.25">
      <c r="A242" t="s">
        <v>8</v>
      </c>
      <c r="B242">
        <v>2020</v>
      </c>
      <c r="C242">
        <v>3522914640155.7969</v>
      </c>
      <c r="D242">
        <v>739213266275.92505</v>
      </c>
      <c r="E242">
        <v>83160871</v>
      </c>
      <c r="F242" s="4">
        <v>1315.9</v>
      </c>
      <c r="G242">
        <f t="shared" si="14"/>
        <v>109431390148.90001</v>
      </c>
      <c r="H242">
        <f t="shared" si="15"/>
        <v>32.192907678155898</v>
      </c>
      <c r="I242">
        <f t="shared" si="17"/>
        <v>5588400304285.6074</v>
      </c>
      <c r="J242" s="6">
        <v>0.12</v>
      </c>
      <c r="K242" s="5">
        <f t="shared" si="16"/>
        <v>0.20983002478971055</v>
      </c>
      <c r="L242" s="7"/>
    </row>
    <row r="243" spans="1:12" x14ac:dyDescent="0.25">
      <c r="A243" t="s">
        <v>8</v>
      </c>
      <c r="B243">
        <v>2021</v>
      </c>
      <c r="C243">
        <v>3652205602572.6504</v>
      </c>
      <c r="D243">
        <v>743944234789.1145</v>
      </c>
      <c r="E243">
        <v>83196078</v>
      </c>
      <c r="F243" s="4">
        <v>1347.6</v>
      </c>
      <c r="G243">
        <f t="shared" si="14"/>
        <v>112115034712.79999</v>
      </c>
      <c r="H243">
        <f t="shared" si="15"/>
        <v>32.575520419079744</v>
      </c>
      <c r="I243">
        <f t="shared" si="17"/>
        <v>5661736502560.4492</v>
      </c>
      <c r="J243" s="6">
        <v>0.12</v>
      </c>
      <c r="K243" s="5">
        <f t="shared" si="16"/>
        <v>0.20369724920882676</v>
      </c>
      <c r="L243" s="7"/>
    </row>
    <row r="244" spans="1:12" x14ac:dyDescent="0.25">
      <c r="A244" t="s">
        <v>8</v>
      </c>
      <c r="B244">
        <v>2022</v>
      </c>
      <c r="C244">
        <v>3702230996916.8989</v>
      </c>
      <c r="D244">
        <v>742465799986.25354</v>
      </c>
      <c r="E244">
        <v>83797985</v>
      </c>
      <c r="F244" s="4">
        <v>1346.8</v>
      </c>
      <c r="G244">
        <f t="shared" si="14"/>
        <v>112859126198</v>
      </c>
      <c r="H244">
        <f t="shared" si="15"/>
        <v>32.804001959236388</v>
      </c>
      <c r="I244">
        <f t="shared" si="17"/>
        <v>5724793922239.4492</v>
      </c>
      <c r="J244" s="6">
        <v>0.12</v>
      </c>
      <c r="K244" s="5">
        <f t="shared" si="16"/>
        <v>0.20054550907400312</v>
      </c>
      <c r="L244" s="7"/>
    </row>
    <row r="245" spans="1:12" x14ac:dyDescent="0.25">
      <c r="A245" t="s">
        <v>9</v>
      </c>
      <c r="B245">
        <v>1983</v>
      </c>
      <c r="C245">
        <v>141552152757.22531</v>
      </c>
      <c r="D245">
        <v>31647766772.932407</v>
      </c>
      <c r="E245">
        <v>9846627</v>
      </c>
      <c r="F245" s="4">
        <v>2072</v>
      </c>
      <c r="G245">
        <f t="shared" si="14"/>
        <v>20402211144</v>
      </c>
      <c r="H245">
        <f t="shared" si="15"/>
        <v>6.9380790032091095</v>
      </c>
      <c r="I245">
        <f>D245</f>
        <v>31647766772.932407</v>
      </c>
      <c r="J245" s="6">
        <v>0.12</v>
      </c>
      <c r="K245" s="5">
        <f t="shared" si="16"/>
        <v>0.22357672530216602</v>
      </c>
      <c r="L245" s="7"/>
    </row>
    <row r="246" spans="1:12" x14ac:dyDescent="0.25">
      <c r="A246" t="s">
        <v>9</v>
      </c>
      <c r="B246">
        <v>1984</v>
      </c>
      <c r="C246">
        <v>144398173149.07062</v>
      </c>
      <c r="D246">
        <v>26508632876.565613</v>
      </c>
      <c r="E246">
        <v>9895801</v>
      </c>
      <c r="F246" s="4">
        <v>2003</v>
      </c>
      <c r="G246">
        <f t="shared" si="14"/>
        <v>19821289403</v>
      </c>
      <c r="H246">
        <f t="shared" si="15"/>
        <v>7.2850040284067292</v>
      </c>
      <c r="I246">
        <f>I245-(I245*J245)+D246</f>
        <v>54358667636.746132</v>
      </c>
      <c r="J246" s="6">
        <v>0.12</v>
      </c>
      <c r="K246" s="5">
        <f t="shared" si="16"/>
        <v>0.18358011253507489</v>
      </c>
      <c r="L246" s="7"/>
    </row>
    <row r="247" spans="1:12" x14ac:dyDescent="0.25">
      <c r="A247" t="s">
        <v>9</v>
      </c>
      <c r="B247">
        <v>1985</v>
      </c>
      <c r="C247">
        <v>148021926572.83154</v>
      </c>
      <c r="D247">
        <v>28987007295.999207</v>
      </c>
      <c r="E247">
        <v>9934300</v>
      </c>
      <c r="F247" s="4">
        <v>2020</v>
      </c>
      <c r="G247">
        <f t="shared" si="14"/>
        <v>20067286000</v>
      </c>
      <c r="H247">
        <f t="shared" si="15"/>
        <v>7.3762803087986857</v>
      </c>
      <c r="I247">
        <f t="shared" ref="I247:I310" si="18">I246-(I246*J246)+D247</f>
        <v>76822634816.3358</v>
      </c>
      <c r="J247" s="6">
        <v>0.12</v>
      </c>
      <c r="K247" s="5">
        <f t="shared" si="16"/>
        <v>0.19582914482427485</v>
      </c>
      <c r="L247" s="7"/>
    </row>
    <row r="248" spans="1:12" x14ac:dyDescent="0.25">
      <c r="A248" t="s">
        <v>9</v>
      </c>
      <c r="B248">
        <v>1986</v>
      </c>
      <c r="C248">
        <v>148788177255.8421</v>
      </c>
      <c r="D248">
        <v>29017798497.739834</v>
      </c>
      <c r="E248">
        <v>9967213</v>
      </c>
      <c r="F248" s="4">
        <v>2009</v>
      </c>
      <c r="G248">
        <f t="shared" si="14"/>
        <v>20024130917</v>
      </c>
      <c r="H248">
        <f t="shared" si="15"/>
        <v>7.4304436917921146</v>
      </c>
      <c r="I248">
        <f t="shared" si="18"/>
        <v>96621717136.115341</v>
      </c>
      <c r="J248" s="6">
        <v>0.12</v>
      </c>
      <c r="K248" s="5">
        <f t="shared" si="16"/>
        <v>0.1950275823854174</v>
      </c>
      <c r="L248" s="7"/>
    </row>
    <row r="249" spans="1:12" x14ac:dyDescent="0.25">
      <c r="A249" t="s">
        <v>9</v>
      </c>
      <c r="B249">
        <v>1987</v>
      </c>
      <c r="C249">
        <v>145427255231.22842</v>
      </c>
      <c r="D249">
        <v>27383297392.657803</v>
      </c>
      <c r="E249">
        <v>10000595</v>
      </c>
      <c r="F249" s="4">
        <v>1968</v>
      </c>
      <c r="G249">
        <f t="shared" si="14"/>
        <v>19681170960</v>
      </c>
      <c r="H249">
        <f t="shared" si="15"/>
        <v>7.3891566475792869</v>
      </c>
      <c r="I249">
        <f t="shared" si="18"/>
        <v>112410408472.4393</v>
      </c>
      <c r="J249" s="6">
        <v>0.12</v>
      </c>
      <c r="K249" s="5">
        <f t="shared" si="16"/>
        <v>0.1882954976295092</v>
      </c>
      <c r="L249" s="7"/>
    </row>
    <row r="250" spans="1:12" x14ac:dyDescent="0.25">
      <c r="A250" t="s">
        <v>9</v>
      </c>
      <c r="B250">
        <v>1988</v>
      </c>
      <c r="C250">
        <v>151662975083.53152</v>
      </c>
      <c r="D250">
        <v>28087920182.158581</v>
      </c>
      <c r="E250">
        <v>10036983</v>
      </c>
      <c r="F250" s="4">
        <v>1957</v>
      </c>
      <c r="G250">
        <f t="shared" si="14"/>
        <v>19642375731</v>
      </c>
      <c r="H250">
        <f t="shared" si="15"/>
        <v>7.7212134194222699</v>
      </c>
      <c r="I250">
        <f t="shared" si="18"/>
        <v>127009079637.90517</v>
      </c>
      <c r="J250" s="6">
        <v>0.12</v>
      </c>
      <c r="K250" s="5">
        <f t="shared" si="16"/>
        <v>0.18519958590215296</v>
      </c>
      <c r="L250" s="7"/>
    </row>
    <row r="251" spans="1:12" x14ac:dyDescent="0.25">
      <c r="A251" t="s">
        <v>9</v>
      </c>
      <c r="B251">
        <v>1989</v>
      </c>
      <c r="C251">
        <v>157426167819.38504</v>
      </c>
      <c r="D251">
        <v>29803824028.999989</v>
      </c>
      <c r="E251">
        <v>10089498</v>
      </c>
      <c r="F251" s="4">
        <v>1997</v>
      </c>
      <c r="G251">
        <f t="shared" si="14"/>
        <v>20148727506</v>
      </c>
      <c r="H251">
        <f t="shared" si="15"/>
        <v>7.8132064554699943</v>
      </c>
      <c r="I251">
        <f t="shared" si="18"/>
        <v>141571814110.35654</v>
      </c>
      <c r="J251" s="6">
        <v>0.12</v>
      </c>
      <c r="K251" s="5">
        <f t="shared" si="16"/>
        <v>0.18931937708852761</v>
      </c>
      <c r="L251" s="7"/>
    </row>
    <row r="252" spans="1:12" x14ac:dyDescent="0.25">
      <c r="A252" t="s">
        <v>9</v>
      </c>
      <c r="B252">
        <v>1990</v>
      </c>
      <c r="C252">
        <v>157426167819.38504</v>
      </c>
      <c r="D252">
        <v>31132809664.51952</v>
      </c>
      <c r="E252">
        <v>10196792</v>
      </c>
      <c r="F252" s="4">
        <v>1976</v>
      </c>
      <c r="G252">
        <f t="shared" si="14"/>
        <v>20148860992</v>
      </c>
      <c r="H252">
        <f t="shared" si="15"/>
        <v>7.8131546930563607</v>
      </c>
      <c r="I252">
        <f t="shared" si="18"/>
        <v>155716006081.63327</v>
      </c>
      <c r="J252" s="6">
        <v>0.12</v>
      </c>
      <c r="K252" s="5">
        <f t="shared" si="16"/>
        <v>0.19776133851036873</v>
      </c>
      <c r="L252" s="7"/>
    </row>
    <row r="253" spans="1:12" x14ac:dyDescent="0.25">
      <c r="A253" t="s">
        <v>9</v>
      </c>
      <c r="B253">
        <v>1991</v>
      </c>
      <c r="C253">
        <v>162306379130.51825</v>
      </c>
      <c r="D253">
        <v>32455755111.862488</v>
      </c>
      <c r="E253">
        <v>10319927</v>
      </c>
      <c r="F253" s="4">
        <v>2005</v>
      </c>
      <c r="G253">
        <f t="shared" si="14"/>
        <v>20691453635</v>
      </c>
      <c r="H253">
        <f t="shared" si="15"/>
        <v>7.8441264685229184</v>
      </c>
      <c r="I253">
        <f t="shared" si="18"/>
        <v>169485840463.69977</v>
      </c>
      <c r="J253" s="6">
        <v>0.12</v>
      </c>
      <c r="K253" s="5">
        <f t="shared" si="16"/>
        <v>0.19996598584559191</v>
      </c>
      <c r="L253" s="7"/>
    </row>
    <row r="254" spans="1:12" x14ac:dyDescent="0.25">
      <c r="A254" t="s">
        <v>9</v>
      </c>
      <c r="B254">
        <v>1992</v>
      </c>
      <c r="C254">
        <v>163442523659.05692</v>
      </c>
      <c r="D254">
        <v>31324141833.969131</v>
      </c>
      <c r="E254">
        <v>10399061</v>
      </c>
      <c r="F254" s="4">
        <v>2031</v>
      </c>
      <c r="G254">
        <f t="shared" si="14"/>
        <v>21120492891</v>
      </c>
      <c r="H254">
        <f t="shared" si="15"/>
        <v>7.7385752549697404</v>
      </c>
      <c r="I254">
        <f t="shared" si="18"/>
        <v>180471681442.0249</v>
      </c>
      <c r="J254" s="6">
        <v>0.12</v>
      </c>
      <c r="K254" s="5">
        <f t="shared" si="16"/>
        <v>0.19165233828199857</v>
      </c>
      <c r="L254" s="7"/>
    </row>
    <row r="255" spans="1:12" x14ac:dyDescent="0.25">
      <c r="A255" t="s">
        <v>9</v>
      </c>
      <c r="B255">
        <v>1993</v>
      </c>
      <c r="C255">
        <v>160827442827.83075</v>
      </c>
      <c r="D255">
        <v>30073061755.577728</v>
      </c>
      <c r="E255">
        <v>10460415</v>
      </c>
      <c r="F255" s="4">
        <v>2051</v>
      </c>
      <c r="G255">
        <f t="shared" si="14"/>
        <v>21454311165</v>
      </c>
      <c r="H255">
        <f t="shared" si="15"/>
        <v>7.4962762304948951</v>
      </c>
      <c r="I255">
        <f t="shared" si="18"/>
        <v>188888141424.55963</v>
      </c>
      <c r="J255" s="6">
        <v>0.12</v>
      </c>
      <c r="K255" s="5">
        <f t="shared" si="16"/>
        <v>0.18698961586905036</v>
      </c>
      <c r="L255" s="7"/>
    </row>
    <row r="256" spans="1:12" x14ac:dyDescent="0.25">
      <c r="A256" t="s">
        <v>9</v>
      </c>
      <c r="B256">
        <v>1994</v>
      </c>
      <c r="C256">
        <v>164043991706.57764</v>
      </c>
      <c r="D256">
        <v>29145776371.621868</v>
      </c>
      <c r="E256">
        <v>10512922</v>
      </c>
      <c r="F256" s="4">
        <v>2018</v>
      </c>
      <c r="G256">
        <f t="shared" si="14"/>
        <v>21215076596</v>
      </c>
      <c r="H256">
        <f t="shared" si="15"/>
        <v>7.7324251441782366</v>
      </c>
      <c r="I256">
        <f t="shared" si="18"/>
        <v>195367340825.23434</v>
      </c>
      <c r="J256" s="6">
        <v>0.12</v>
      </c>
      <c r="K256" s="5">
        <f t="shared" si="16"/>
        <v>0.17767048989977252</v>
      </c>
      <c r="L256" s="7"/>
    </row>
    <row r="257" spans="1:12" x14ac:dyDescent="0.25">
      <c r="A257" t="s">
        <v>9</v>
      </c>
      <c r="B257">
        <v>1995</v>
      </c>
      <c r="C257">
        <v>167488456723.31668</v>
      </c>
      <c r="D257">
        <v>30349698823.623039</v>
      </c>
      <c r="E257">
        <v>10562153</v>
      </c>
      <c r="F257" s="4">
        <v>2001</v>
      </c>
      <c r="G257">
        <f t="shared" si="14"/>
        <v>21134868153</v>
      </c>
      <c r="H257">
        <f t="shared" si="15"/>
        <v>7.9247457571455184</v>
      </c>
      <c r="I257">
        <f t="shared" si="18"/>
        <v>202272958749.82928</v>
      </c>
      <c r="J257" s="6">
        <v>0.12</v>
      </c>
      <c r="K257" s="5">
        <f t="shared" si="16"/>
        <v>0.18120471952141373</v>
      </c>
      <c r="L257" s="7"/>
    </row>
    <row r="258" spans="1:12" x14ac:dyDescent="0.25">
      <c r="A258" t="s">
        <v>9</v>
      </c>
      <c r="B258">
        <v>1996</v>
      </c>
      <c r="C258">
        <v>169803934679.1745</v>
      </c>
      <c r="D258">
        <v>33200613276.828896</v>
      </c>
      <c r="E258">
        <v>10608800</v>
      </c>
      <c r="F258" s="4">
        <v>2000</v>
      </c>
      <c r="G258">
        <f t="shared" si="14"/>
        <v>21217600000</v>
      </c>
      <c r="H258">
        <f t="shared" si="15"/>
        <v>8.0029755806111194</v>
      </c>
      <c r="I258">
        <f t="shared" si="18"/>
        <v>211200816976.67865</v>
      </c>
      <c r="J258" s="6">
        <v>0.12</v>
      </c>
      <c r="K258" s="5">
        <f t="shared" si="16"/>
        <v>0.19552322706513092</v>
      </c>
      <c r="L258" s="7"/>
    </row>
    <row r="259" spans="1:12" x14ac:dyDescent="0.25">
      <c r="A259" t="s">
        <v>9</v>
      </c>
      <c r="B259">
        <v>1997</v>
      </c>
      <c r="C259">
        <v>175921772115.38739</v>
      </c>
      <c r="D259">
        <v>34222293798.493347</v>
      </c>
      <c r="E259">
        <v>10661259</v>
      </c>
      <c r="F259" s="4">
        <v>1998</v>
      </c>
      <c r="G259">
        <f t="shared" ref="G259:G322" si="19">E259*F259</f>
        <v>21301195482</v>
      </c>
      <c r="H259">
        <f t="shared" ref="H259:H322" si="20">C259/G259</f>
        <v>8.2587745961979149</v>
      </c>
      <c r="I259">
        <f t="shared" si="18"/>
        <v>220079012737.97055</v>
      </c>
      <c r="J259" s="6">
        <v>0.12</v>
      </c>
      <c r="K259" s="5">
        <f t="shared" ref="K259:K322" si="21">D259/C259</f>
        <v>0.19453131574895055</v>
      </c>
      <c r="L259" s="7"/>
    </row>
    <row r="260" spans="1:12" x14ac:dyDescent="0.25">
      <c r="A260" t="s">
        <v>9</v>
      </c>
      <c r="B260">
        <v>1998</v>
      </c>
      <c r="C260">
        <v>181968090350.67056</v>
      </c>
      <c r="D260">
        <v>40347802406.832016</v>
      </c>
      <c r="E260">
        <v>10720509</v>
      </c>
      <c r="F260" s="4">
        <v>1999</v>
      </c>
      <c r="G260">
        <f t="shared" si="19"/>
        <v>21430297491</v>
      </c>
      <c r="H260">
        <f t="shared" si="20"/>
        <v>8.4911602569722149</v>
      </c>
      <c r="I260">
        <f t="shared" si="18"/>
        <v>234017333616.24609</v>
      </c>
      <c r="J260" s="6">
        <v>0.12</v>
      </c>
      <c r="K260" s="5">
        <f t="shared" si="21"/>
        <v>0.22173009745322819</v>
      </c>
      <c r="L260" s="7"/>
    </row>
    <row r="261" spans="1:12" x14ac:dyDescent="0.25">
      <c r="A261" t="s">
        <v>9</v>
      </c>
      <c r="B261">
        <v>1999</v>
      </c>
      <c r="C261">
        <v>186806232261.52994</v>
      </c>
      <c r="D261">
        <v>43177936793.109352</v>
      </c>
      <c r="E261">
        <v>10761698</v>
      </c>
      <c r="F261" s="4">
        <v>1995</v>
      </c>
      <c r="G261">
        <f t="shared" si="19"/>
        <v>21469587510</v>
      </c>
      <c r="H261">
        <f t="shared" si="20"/>
        <v>8.7009697868913527</v>
      </c>
      <c r="I261">
        <f t="shared" si="18"/>
        <v>249113190375.40591</v>
      </c>
      <c r="J261" s="6">
        <v>0.12</v>
      </c>
      <c r="K261" s="5">
        <f t="shared" si="21"/>
        <v>0.23113756040355207</v>
      </c>
      <c r="L261" s="7"/>
    </row>
    <row r="262" spans="1:12" x14ac:dyDescent="0.25">
      <c r="A262" t="s">
        <v>9</v>
      </c>
      <c r="B262">
        <v>2000</v>
      </c>
      <c r="C262">
        <v>194535951163.52368</v>
      </c>
      <c r="D262">
        <v>45245467465.247627</v>
      </c>
      <c r="E262">
        <v>10805808</v>
      </c>
      <c r="F262" s="4">
        <v>1998</v>
      </c>
      <c r="G262">
        <f t="shared" si="19"/>
        <v>21590004384</v>
      </c>
      <c r="H262">
        <f t="shared" si="20"/>
        <v>9.0104637175382472</v>
      </c>
      <c r="I262">
        <f t="shared" si="18"/>
        <v>264465074995.60483</v>
      </c>
      <c r="J262" s="6">
        <v>0.12</v>
      </c>
      <c r="K262" s="5">
        <f t="shared" si="21"/>
        <v>0.23258152127991519</v>
      </c>
      <c r="L262" s="7"/>
    </row>
    <row r="263" spans="1:12" x14ac:dyDescent="0.25">
      <c r="A263" t="s">
        <v>9</v>
      </c>
      <c r="B263">
        <v>2001</v>
      </c>
      <c r="C263">
        <v>203582678509.38266</v>
      </c>
      <c r="D263">
        <v>47024066556.99958</v>
      </c>
      <c r="E263">
        <v>10862132</v>
      </c>
      <c r="F263" s="4">
        <v>1992</v>
      </c>
      <c r="G263">
        <f t="shared" si="19"/>
        <v>21637366944</v>
      </c>
      <c r="H263">
        <f t="shared" si="20"/>
        <v>9.4088471594662195</v>
      </c>
      <c r="I263">
        <f t="shared" si="18"/>
        <v>279753332553.13184</v>
      </c>
      <c r="J263" s="6">
        <v>0.12</v>
      </c>
      <c r="K263" s="5">
        <f t="shared" si="21"/>
        <v>0.23098264990571066</v>
      </c>
      <c r="L263" s="7"/>
    </row>
    <row r="264" spans="1:12" x14ac:dyDescent="0.25">
      <c r="A264" t="s">
        <v>9</v>
      </c>
      <c r="B264">
        <v>2002</v>
      </c>
      <c r="C264">
        <v>213116734983.1651</v>
      </c>
      <c r="D264">
        <v>45864201752.372238</v>
      </c>
      <c r="E264">
        <v>10902022</v>
      </c>
      <c r="F264" s="4">
        <v>1984</v>
      </c>
      <c r="G264">
        <f t="shared" si="19"/>
        <v>21629611648</v>
      </c>
      <c r="H264">
        <f t="shared" si="20"/>
        <v>9.8530079250346194</v>
      </c>
      <c r="I264">
        <f t="shared" si="18"/>
        <v>292047134399.12823</v>
      </c>
      <c r="J264" s="6">
        <v>0.12</v>
      </c>
      <c r="K264" s="5">
        <f t="shared" si="21"/>
        <v>0.21520694635264201</v>
      </c>
      <c r="L264" s="7"/>
    </row>
    <row r="265" spans="1:12" x14ac:dyDescent="0.25">
      <c r="A265" t="s">
        <v>9</v>
      </c>
      <c r="B265">
        <v>2003</v>
      </c>
      <c r="C265">
        <v>225470734967.32446</v>
      </c>
      <c r="D265">
        <v>51255575637.83239</v>
      </c>
      <c r="E265">
        <v>10928070</v>
      </c>
      <c r="F265" s="4">
        <v>1983</v>
      </c>
      <c r="G265">
        <f t="shared" si="19"/>
        <v>21670362810</v>
      </c>
      <c r="H265">
        <f t="shared" si="20"/>
        <v>10.404566686039921</v>
      </c>
      <c r="I265">
        <f t="shared" si="18"/>
        <v>308257053909.06525</v>
      </c>
      <c r="J265" s="6">
        <v>0.12</v>
      </c>
      <c r="K265" s="5">
        <f t="shared" si="21"/>
        <v>0.22732695507139949</v>
      </c>
      <c r="L265" s="7"/>
    </row>
    <row r="266" spans="1:12" x14ac:dyDescent="0.25">
      <c r="A266" t="s">
        <v>9</v>
      </c>
      <c r="B266">
        <v>2004</v>
      </c>
      <c r="C266">
        <v>237596249633.37875</v>
      </c>
      <c r="D266">
        <v>55158353801.379265</v>
      </c>
      <c r="E266">
        <v>10955141</v>
      </c>
      <c r="F266" s="4">
        <v>1974</v>
      </c>
      <c r="G266">
        <f t="shared" si="19"/>
        <v>21625448334</v>
      </c>
      <c r="H266">
        <f t="shared" si="20"/>
        <v>10.986882027311534</v>
      </c>
      <c r="I266">
        <f t="shared" si="18"/>
        <v>326424561241.35669</v>
      </c>
      <c r="J266" s="6">
        <v>0.12</v>
      </c>
      <c r="K266" s="5">
        <f t="shared" si="21"/>
        <v>0.23215161807684667</v>
      </c>
      <c r="L266" s="7"/>
    </row>
    <row r="267" spans="1:12" x14ac:dyDescent="0.25">
      <c r="A267" t="s">
        <v>9</v>
      </c>
      <c r="B267">
        <v>2005</v>
      </c>
      <c r="C267">
        <v>240408215746.07211</v>
      </c>
      <c r="D267">
        <v>48529565707.801537</v>
      </c>
      <c r="E267">
        <v>10987314</v>
      </c>
      <c r="F267" s="4">
        <v>2025</v>
      </c>
      <c r="G267">
        <f t="shared" si="19"/>
        <v>22249310850</v>
      </c>
      <c r="H267">
        <f t="shared" si="20"/>
        <v>10.805198298808078</v>
      </c>
      <c r="I267">
        <f t="shared" si="18"/>
        <v>335783179600.19543</v>
      </c>
      <c r="J267" s="6">
        <v>0.12</v>
      </c>
      <c r="K267" s="5">
        <f t="shared" si="21"/>
        <v>0.20186317492185968</v>
      </c>
      <c r="L267" s="7"/>
    </row>
    <row r="268" spans="1:12" x14ac:dyDescent="0.25">
      <c r="A268" t="s">
        <v>9</v>
      </c>
      <c r="B268">
        <v>2006</v>
      </c>
      <c r="C268">
        <v>255898673311.45569</v>
      </c>
      <c r="D268">
        <v>57602415425.157394</v>
      </c>
      <c r="E268">
        <v>11020362</v>
      </c>
      <c r="F268" s="4">
        <v>2015</v>
      </c>
      <c r="G268">
        <f t="shared" si="19"/>
        <v>22206029430</v>
      </c>
      <c r="H268">
        <f t="shared" si="20"/>
        <v>11.523837438751682</v>
      </c>
      <c r="I268">
        <f t="shared" si="18"/>
        <v>353091613473.32941</v>
      </c>
      <c r="J268" s="6">
        <v>0.12</v>
      </c>
      <c r="K268" s="5">
        <f t="shared" si="21"/>
        <v>0.22509853091363696</v>
      </c>
      <c r="L268" s="7"/>
    </row>
    <row r="269" spans="1:12" x14ac:dyDescent="0.25">
      <c r="A269" t="s">
        <v>9</v>
      </c>
      <c r="B269">
        <v>2007</v>
      </c>
      <c r="C269">
        <v>264872707591.74701</v>
      </c>
      <c r="D269">
        <v>64463209321.242149</v>
      </c>
      <c r="E269">
        <v>11048473</v>
      </c>
      <c r="F269" s="4">
        <v>2001</v>
      </c>
      <c r="G269">
        <f t="shared" si="19"/>
        <v>22107994473</v>
      </c>
      <c r="H269">
        <f t="shared" si="20"/>
        <v>11.980856423463925</v>
      </c>
      <c r="I269">
        <f t="shared" si="18"/>
        <v>375183829177.77203</v>
      </c>
      <c r="J269" s="6">
        <v>0.12</v>
      </c>
      <c r="K269" s="5">
        <f t="shared" si="21"/>
        <v>0.24337429819534459</v>
      </c>
      <c r="L269" s="7"/>
    </row>
    <row r="270" spans="1:12" x14ac:dyDescent="0.25">
      <c r="A270" t="s">
        <v>9</v>
      </c>
      <c r="B270">
        <v>2008</v>
      </c>
      <c r="C270">
        <v>265024939417.41779</v>
      </c>
      <c r="D270">
        <v>59750159441.236298</v>
      </c>
      <c r="E270">
        <v>11077841</v>
      </c>
      <c r="F270" s="4">
        <v>1997</v>
      </c>
      <c r="G270">
        <f t="shared" si="19"/>
        <v>22122448477</v>
      </c>
      <c r="H270">
        <f t="shared" si="20"/>
        <v>11.979909895279254</v>
      </c>
      <c r="I270">
        <f t="shared" si="18"/>
        <v>389911929117.67566</v>
      </c>
      <c r="J270" s="6">
        <v>0.12</v>
      </c>
      <c r="K270" s="5">
        <f t="shared" si="21"/>
        <v>0.22545108234938224</v>
      </c>
      <c r="L270" s="7"/>
    </row>
    <row r="271" spans="1:12" x14ac:dyDescent="0.25">
      <c r="A271" t="s">
        <v>9</v>
      </c>
      <c r="B271">
        <v>2009</v>
      </c>
      <c r="C271">
        <v>254107830744.95569</v>
      </c>
      <c r="D271">
        <v>51825962900.748016</v>
      </c>
      <c r="E271">
        <v>11107017</v>
      </c>
      <c r="F271" s="4">
        <v>1973</v>
      </c>
      <c r="G271">
        <f t="shared" si="19"/>
        <v>21914144541</v>
      </c>
      <c r="H271">
        <f t="shared" si="20"/>
        <v>11.595608045275769</v>
      </c>
      <c r="I271">
        <f t="shared" si="18"/>
        <v>394948460524.30261</v>
      </c>
      <c r="J271" s="6">
        <v>0.12</v>
      </c>
      <c r="K271" s="5">
        <f t="shared" si="21"/>
        <v>0.20395263990413967</v>
      </c>
      <c r="L271" s="7"/>
    </row>
    <row r="272" spans="1:12" x14ac:dyDescent="0.25">
      <c r="A272" t="s">
        <v>9</v>
      </c>
      <c r="B272">
        <v>2010</v>
      </c>
      <c r="C272">
        <v>239639588486.44986</v>
      </c>
      <c r="D272">
        <v>40320133374.365601</v>
      </c>
      <c r="E272">
        <v>11121341</v>
      </c>
      <c r="F272" s="4">
        <v>1931</v>
      </c>
      <c r="G272">
        <f t="shared" si="19"/>
        <v>21475309471</v>
      </c>
      <c r="H272">
        <f t="shared" si="20"/>
        <v>11.158842148936493</v>
      </c>
      <c r="I272">
        <f t="shared" si="18"/>
        <v>387874778635.75189</v>
      </c>
      <c r="J272" s="6">
        <v>0.12</v>
      </c>
      <c r="K272" s="5">
        <f t="shared" si="21"/>
        <v>0.1682532240562809</v>
      </c>
      <c r="L272" s="7"/>
    </row>
    <row r="273" spans="1:12" x14ac:dyDescent="0.25">
      <c r="A273" t="s">
        <v>9</v>
      </c>
      <c r="B273">
        <v>2011</v>
      </c>
      <c r="C273">
        <v>215970915842.32095</v>
      </c>
      <c r="D273">
        <v>30139782313.255451</v>
      </c>
      <c r="E273">
        <v>11104899</v>
      </c>
      <c r="F273" s="4">
        <v>1950</v>
      </c>
      <c r="G273">
        <f t="shared" si="19"/>
        <v>21654553050</v>
      </c>
      <c r="H273">
        <f t="shared" si="20"/>
        <v>9.9734644877521941</v>
      </c>
      <c r="I273">
        <f t="shared" si="18"/>
        <v>371469587512.7171</v>
      </c>
      <c r="J273" s="6">
        <v>0.12</v>
      </c>
      <c r="K273" s="5">
        <f t="shared" si="21"/>
        <v>0.13955482012800427</v>
      </c>
      <c r="L273" s="7"/>
    </row>
    <row r="274" spans="1:12" x14ac:dyDescent="0.25">
      <c r="A274" t="s">
        <v>9</v>
      </c>
      <c r="B274">
        <v>2012</v>
      </c>
      <c r="C274">
        <v>197978089531.73114</v>
      </c>
      <c r="D274">
        <v>24461957718.232407</v>
      </c>
      <c r="E274">
        <v>11045011</v>
      </c>
      <c r="F274" s="4">
        <v>1990</v>
      </c>
      <c r="G274">
        <f t="shared" si="19"/>
        <v>21979571890</v>
      </c>
      <c r="H274">
        <f t="shared" si="20"/>
        <v>9.0073678651495861</v>
      </c>
      <c r="I274">
        <f t="shared" si="18"/>
        <v>351355194729.42346</v>
      </c>
      <c r="J274" s="6">
        <v>0.12</v>
      </c>
      <c r="K274" s="5">
        <f t="shared" si="21"/>
        <v>0.12355891389845815</v>
      </c>
      <c r="L274" s="7"/>
    </row>
    <row r="275" spans="1:12" x14ac:dyDescent="0.25">
      <c r="A275" t="s">
        <v>9</v>
      </c>
      <c r="B275">
        <v>2013</v>
      </c>
      <c r="C275">
        <v>193479795857.32178</v>
      </c>
      <c r="D275">
        <v>22171639076.682407</v>
      </c>
      <c r="E275">
        <v>10965211</v>
      </c>
      <c r="F275" s="4">
        <v>1997</v>
      </c>
      <c r="G275">
        <f t="shared" si="19"/>
        <v>21897526367</v>
      </c>
      <c r="H275">
        <f t="shared" si="20"/>
        <v>8.8356918774578848</v>
      </c>
      <c r="I275">
        <f t="shared" si="18"/>
        <v>331364210438.57507</v>
      </c>
      <c r="J275" s="6">
        <v>0.12</v>
      </c>
      <c r="K275" s="5">
        <f t="shared" si="21"/>
        <v>0.11459407933752673</v>
      </c>
      <c r="L275" s="7"/>
    </row>
    <row r="276" spans="1:12" x14ac:dyDescent="0.25">
      <c r="A276" t="s">
        <v>9</v>
      </c>
      <c r="B276">
        <v>2014</v>
      </c>
      <c r="C276">
        <v>195012591244.25888</v>
      </c>
      <c r="D276">
        <v>21676473459.212486</v>
      </c>
      <c r="E276">
        <v>10892413</v>
      </c>
      <c r="F276" s="4">
        <v>1949</v>
      </c>
      <c r="G276">
        <f t="shared" si="19"/>
        <v>21229312937</v>
      </c>
      <c r="H276">
        <f t="shared" si="20"/>
        <v>9.1860057752682458</v>
      </c>
      <c r="I276">
        <f t="shared" si="18"/>
        <v>313276978645.15851</v>
      </c>
      <c r="J276" s="6">
        <v>0.12</v>
      </c>
      <c r="K276" s="5">
        <f t="shared" si="21"/>
        <v>0.11115422507289327</v>
      </c>
      <c r="L276" s="7"/>
    </row>
    <row r="277" spans="1:12" x14ac:dyDescent="0.25">
      <c r="A277" t="s">
        <v>9</v>
      </c>
      <c r="B277">
        <v>2015</v>
      </c>
      <c r="C277">
        <v>194567373678.09912</v>
      </c>
      <c r="D277">
        <v>21715847852.674988</v>
      </c>
      <c r="E277">
        <v>10820883</v>
      </c>
      <c r="F277" s="4">
        <v>1935</v>
      </c>
      <c r="G277">
        <f t="shared" si="19"/>
        <v>20938408605</v>
      </c>
      <c r="H277">
        <f t="shared" si="20"/>
        <v>9.2923668340122703</v>
      </c>
      <c r="I277">
        <f t="shared" si="18"/>
        <v>297399589060.41449</v>
      </c>
      <c r="J277" s="6">
        <v>0.12</v>
      </c>
      <c r="K277" s="5">
        <f t="shared" si="21"/>
        <v>0.11161094196914355</v>
      </c>
      <c r="L277" s="7"/>
    </row>
    <row r="278" spans="1:12" x14ac:dyDescent="0.25">
      <c r="A278" t="s">
        <v>9</v>
      </c>
      <c r="B278">
        <v>2016</v>
      </c>
      <c r="C278">
        <v>194505510567.85654</v>
      </c>
      <c r="D278">
        <v>22273634377.691784</v>
      </c>
      <c r="E278">
        <v>10775971</v>
      </c>
      <c r="F278" s="4">
        <v>1943</v>
      </c>
      <c r="G278">
        <f t="shared" si="19"/>
        <v>20937711653</v>
      </c>
      <c r="H278">
        <f t="shared" si="20"/>
        <v>9.289721522169657</v>
      </c>
      <c r="I278">
        <f t="shared" si="18"/>
        <v>283985272750.85651</v>
      </c>
      <c r="J278" s="6">
        <v>0.12</v>
      </c>
      <c r="K278" s="5">
        <f t="shared" si="21"/>
        <v>0.11451415598799321</v>
      </c>
      <c r="L278" s="7"/>
    </row>
    <row r="279" spans="1:12" x14ac:dyDescent="0.25">
      <c r="A279" t="s">
        <v>9</v>
      </c>
      <c r="B279">
        <v>2017</v>
      </c>
      <c r="C279">
        <v>197370819841.30536</v>
      </c>
      <c r="D279">
        <v>23980780839.287483</v>
      </c>
      <c r="E279">
        <v>10754679</v>
      </c>
      <c r="F279" s="4">
        <v>1947</v>
      </c>
      <c r="G279">
        <f t="shared" si="19"/>
        <v>20939360013</v>
      </c>
      <c r="H279">
        <f t="shared" si="20"/>
        <v>9.4258286651917533</v>
      </c>
      <c r="I279">
        <f t="shared" si="18"/>
        <v>273887820860.0412</v>
      </c>
      <c r="J279" s="6">
        <v>0.12</v>
      </c>
      <c r="K279" s="5">
        <f t="shared" si="21"/>
        <v>0.12150114621081812</v>
      </c>
      <c r="L279" s="7"/>
    </row>
    <row r="280" spans="1:12" x14ac:dyDescent="0.25">
      <c r="A280" t="s">
        <v>9</v>
      </c>
      <c r="B280">
        <v>2018</v>
      </c>
      <c r="C280">
        <v>201445880947.4827</v>
      </c>
      <c r="D280">
        <v>22885481918.304279</v>
      </c>
      <c r="E280">
        <v>10732882</v>
      </c>
      <c r="F280" s="4">
        <v>1961</v>
      </c>
      <c r="G280">
        <f t="shared" si="19"/>
        <v>21047181602</v>
      </c>
      <c r="H280">
        <f t="shared" si="20"/>
        <v>9.5711570678109403</v>
      </c>
      <c r="I280">
        <f t="shared" si="18"/>
        <v>263906764275.14053</v>
      </c>
      <c r="J280" s="6">
        <v>0.12</v>
      </c>
      <c r="K280" s="5">
        <f t="shared" si="21"/>
        <v>0.11360610507727664</v>
      </c>
      <c r="L280" s="7"/>
    </row>
    <row r="281" spans="1:12" x14ac:dyDescent="0.25">
      <c r="A281" t="s">
        <v>9</v>
      </c>
      <c r="B281">
        <v>2019</v>
      </c>
      <c r="C281">
        <v>206033167541.33621</v>
      </c>
      <c r="D281">
        <v>22696298875.323811</v>
      </c>
      <c r="E281">
        <v>10721582</v>
      </c>
      <c r="F281" s="4">
        <v>1918</v>
      </c>
      <c r="G281">
        <f t="shared" si="19"/>
        <v>20563994276</v>
      </c>
      <c r="H281">
        <f t="shared" si="20"/>
        <v>10.019122004025995</v>
      </c>
      <c r="I281">
        <f t="shared" si="18"/>
        <v>254934251437.44748</v>
      </c>
      <c r="J281" s="6">
        <v>0.12</v>
      </c>
      <c r="K281" s="5">
        <f t="shared" si="21"/>
        <v>0.11015847179445162</v>
      </c>
      <c r="L281" s="7"/>
    </row>
    <row r="282" spans="1:12" x14ac:dyDescent="0.25">
      <c r="A282" t="s">
        <v>9</v>
      </c>
      <c r="B282">
        <v>2020</v>
      </c>
      <c r="C282">
        <v>187085880547.56046</v>
      </c>
      <c r="D282">
        <v>23076118423.171467</v>
      </c>
      <c r="E282">
        <v>10698599</v>
      </c>
      <c r="F282" s="4">
        <v>1732</v>
      </c>
      <c r="G282">
        <f t="shared" si="19"/>
        <v>18529973468</v>
      </c>
      <c r="H282">
        <f t="shared" si="20"/>
        <v>10.096392251756054</v>
      </c>
      <c r="I282">
        <f t="shared" si="18"/>
        <v>247418259688.12527</v>
      </c>
      <c r="J282" s="6">
        <v>0.12</v>
      </c>
      <c r="K282" s="5">
        <f t="shared" si="21"/>
        <v>0.12334505605464502</v>
      </c>
      <c r="L282" s="7"/>
    </row>
    <row r="283" spans="1:12" x14ac:dyDescent="0.25">
      <c r="A283" t="s">
        <v>9</v>
      </c>
      <c r="B283">
        <v>2021</v>
      </c>
      <c r="C283">
        <v>203277224063.02917</v>
      </c>
      <c r="D283">
        <v>28075471447.525757</v>
      </c>
      <c r="E283">
        <v>10569207</v>
      </c>
      <c r="F283" s="4">
        <v>1854</v>
      </c>
      <c r="G283">
        <f t="shared" si="19"/>
        <v>19595309778</v>
      </c>
      <c r="H283">
        <f t="shared" si="20"/>
        <v>10.373769354299879</v>
      </c>
      <c r="I283">
        <f t="shared" si="18"/>
        <v>245803539973.07599</v>
      </c>
      <c r="J283" s="6">
        <v>0.12</v>
      </c>
      <c r="K283" s="5">
        <f t="shared" si="21"/>
        <v>0.13811420131760818</v>
      </c>
      <c r="L283" s="7"/>
    </row>
    <row r="284" spans="1:12" x14ac:dyDescent="0.25">
      <c r="A284" t="s">
        <v>9</v>
      </c>
      <c r="B284">
        <v>2022</v>
      </c>
      <c r="C284">
        <v>214952754695.54559</v>
      </c>
      <c r="D284">
        <v>32669083374.368717</v>
      </c>
      <c r="E284">
        <v>10436882</v>
      </c>
      <c r="F284" s="4">
        <v>1886</v>
      </c>
      <c r="G284">
        <f t="shared" si="19"/>
        <v>19683959452</v>
      </c>
      <c r="H284">
        <f t="shared" si="20"/>
        <v>10.920199018887189</v>
      </c>
      <c r="I284">
        <f t="shared" si="18"/>
        <v>248976198550.6756</v>
      </c>
      <c r="J284" s="6">
        <v>0.12</v>
      </c>
      <c r="K284" s="5">
        <f t="shared" si="21"/>
        <v>0.15198262250995803</v>
      </c>
      <c r="L284" s="7"/>
    </row>
    <row r="285" spans="1:12" x14ac:dyDescent="0.25">
      <c r="A285" t="s">
        <v>10</v>
      </c>
      <c r="B285">
        <v>1980</v>
      </c>
      <c r="C285">
        <v>6887415271.1421986</v>
      </c>
      <c r="D285">
        <v>1818633845.4389892</v>
      </c>
      <c r="E285">
        <v>228138</v>
      </c>
      <c r="F285" s="4">
        <v>1768</v>
      </c>
      <c r="G285">
        <f t="shared" si="19"/>
        <v>403347984</v>
      </c>
      <c r="H285">
        <f t="shared" si="20"/>
        <v>17.075615955333991</v>
      </c>
      <c r="I285">
        <f>D285</f>
        <v>1818633845.4389892</v>
      </c>
      <c r="J285" s="6">
        <v>0.12</v>
      </c>
      <c r="K285" s="5">
        <f t="shared" si="21"/>
        <v>0.26405171952661854</v>
      </c>
      <c r="L285" s="7"/>
    </row>
    <row r="286" spans="1:12" x14ac:dyDescent="0.25">
      <c r="A286" t="s">
        <v>10</v>
      </c>
      <c r="B286">
        <v>1981</v>
      </c>
      <c r="C286">
        <v>7181164023.3909502</v>
      </c>
      <c r="D286">
        <v>1840175414.7417016</v>
      </c>
      <c r="E286">
        <v>230755</v>
      </c>
      <c r="F286" s="4">
        <v>1761</v>
      </c>
      <c r="G286">
        <f t="shared" si="19"/>
        <v>406359555</v>
      </c>
      <c r="H286">
        <f t="shared" si="20"/>
        <v>17.67194578060543</v>
      </c>
      <c r="I286">
        <f>I285-(I285*J285)+D286</f>
        <v>3440573198.7280121</v>
      </c>
      <c r="J286" s="6">
        <v>0.12</v>
      </c>
      <c r="K286" s="5">
        <f t="shared" si="21"/>
        <v>0.25625029713118425</v>
      </c>
      <c r="L286" s="7"/>
    </row>
    <row r="287" spans="1:12" x14ac:dyDescent="0.25">
      <c r="A287" t="s">
        <v>10</v>
      </c>
      <c r="B287">
        <v>1982</v>
      </c>
      <c r="C287">
        <v>7335886960.2866602</v>
      </c>
      <c r="D287">
        <v>1841333135.2941234</v>
      </c>
      <c r="E287">
        <v>233860</v>
      </c>
      <c r="F287" s="4">
        <v>1764</v>
      </c>
      <c r="G287">
        <f t="shared" si="19"/>
        <v>412529040</v>
      </c>
      <c r="H287">
        <f t="shared" si="20"/>
        <v>17.782716485333154</v>
      </c>
      <c r="I287">
        <f t="shared" si="18"/>
        <v>4869037550.1747742</v>
      </c>
      <c r="J287" s="6">
        <v>0.12</v>
      </c>
      <c r="K287" s="5">
        <f t="shared" si="21"/>
        <v>0.25100347718855398</v>
      </c>
      <c r="L287" s="7"/>
    </row>
    <row r="288" spans="1:12" x14ac:dyDescent="0.25">
      <c r="A288" t="s">
        <v>10</v>
      </c>
      <c r="B288">
        <v>1983</v>
      </c>
      <c r="C288">
        <v>7178080169.6689329</v>
      </c>
      <c r="D288">
        <v>1606969750.6945097</v>
      </c>
      <c r="E288">
        <v>236977</v>
      </c>
      <c r="F288" s="4">
        <v>1764</v>
      </c>
      <c r="G288">
        <f t="shared" si="19"/>
        <v>418027428</v>
      </c>
      <c r="H288">
        <f t="shared" si="20"/>
        <v>17.171313863330838</v>
      </c>
      <c r="I288">
        <f t="shared" si="18"/>
        <v>5891722794.8483114</v>
      </c>
      <c r="J288" s="6">
        <v>0.12</v>
      </c>
      <c r="K288" s="5">
        <f t="shared" si="21"/>
        <v>0.22387180314379609</v>
      </c>
      <c r="L288" s="7"/>
    </row>
    <row r="289" spans="1:12" x14ac:dyDescent="0.25">
      <c r="A289" t="s">
        <v>10</v>
      </c>
      <c r="B289">
        <v>1984</v>
      </c>
      <c r="C289">
        <v>7474471587.2692871</v>
      </c>
      <c r="D289">
        <v>1757526508.2322276</v>
      </c>
      <c r="E289">
        <v>239511</v>
      </c>
      <c r="F289" s="4">
        <v>1762</v>
      </c>
      <c r="G289">
        <f t="shared" si="19"/>
        <v>422018382</v>
      </c>
      <c r="H289">
        <f t="shared" si="20"/>
        <v>17.711246490844296</v>
      </c>
      <c r="I289">
        <f t="shared" si="18"/>
        <v>6942242567.6987419</v>
      </c>
      <c r="J289" s="6">
        <v>0.12</v>
      </c>
      <c r="K289" s="5">
        <f t="shared" si="21"/>
        <v>0.23513722511510943</v>
      </c>
      <c r="L289" s="7"/>
    </row>
    <row r="290" spans="1:12" x14ac:dyDescent="0.25">
      <c r="A290" t="s">
        <v>10</v>
      </c>
      <c r="B290">
        <v>1985</v>
      </c>
      <c r="C290">
        <v>7720594077.2940903</v>
      </c>
      <c r="D290">
        <v>1775608166.4622262</v>
      </c>
      <c r="E290">
        <v>241405</v>
      </c>
      <c r="F290" s="4">
        <v>1761</v>
      </c>
      <c r="G290">
        <f t="shared" si="19"/>
        <v>425114205</v>
      </c>
      <c r="H290">
        <f t="shared" si="20"/>
        <v>18.161223470041634</v>
      </c>
      <c r="I290">
        <f t="shared" si="18"/>
        <v>7884781626.0371189</v>
      </c>
      <c r="J290" s="6">
        <v>0.12</v>
      </c>
      <c r="K290" s="5">
        <f t="shared" si="21"/>
        <v>0.22998335991840416</v>
      </c>
      <c r="L290" s="7"/>
    </row>
    <row r="291" spans="1:12" x14ac:dyDescent="0.25">
      <c r="A291" t="s">
        <v>10</v>
      </c>
      <c r="B291">
        <v>1986</v>
      </c>
      <c r="C291">
        <v>8204717169.1540689</v>
      </c>
      <c r="D291">
        <v>1748052635.9144917</v>
      </c>
      <c r="E291">
        <v>243180</v>
      </c>
      <c r="F291" s="4">
        <v>1754</v>
      </c>
      <c r="G291">
        <f t="shared" si="19"/>
        <v>426537720</v>
      </c>
      <c r="H291">
        <f t="shared" si="20"/>
        <v>19.235619230004016</v>
      </c>
      <c r="I291">
        <f t="shared" si="18"/>
        <v>8686660466.8271561</v>
      </c>
      <c r="J291" s="6">
        <v>0.12</v>
      </c>
      <c r="K291" s="5">
        <f t="shared" si="21"/>
        <v>0.21305458797365481</v>
      </c>
      <c r="L291" s="7"/>
    </row>
    <row r="292" spans="1:12" x14ac:dyDescent="0.25">
      <c r="A292" t="s">
        <v>10</v>
      </c>
      <c r="B292">
        <v>1987</v>
      </c>
      <c r="C292">
        <v>8905887360.2500324</v>
      </c>
      <c r="D292">
        <v>2076023501.5668664</v>
      </c>
      <c r="E292">
        <v>245859</v>
      </c>
      <c r="F292" s="4">
        <v>1752</v>
      </c>
      <c r="G292">
        <f t="shared" si="19"/>
        <v>430744968</v>
      </c>
      <c r="H292">
        <f t="shared" si="20"/>
        <v>20.67554590736399</v>
      </c>
      <c r="I292">
        <f t="shared" si="18"/>
        <v>9720284712.3747635</v>
      </c>
      <c r="J292" s="6">
        <v>0.12</v>
      </c>
      <c r="K292" s="5">
        <f t="shared" si="21"/>
        <v>0.23310686713070916</v>
      </c>
      <c r="L292" s="7"/>
    </row>
    <row r="293" spans="1:12" x14ac:dyDescent="0.25">
      <c r="A293" t="s">
        <v>10</v>
      </c>
      <c r="B293">
        <v>1988</v>
      </c>
      <c r="C293">
        <v>8897896461.8207321</v>
      </c>
      <c r="D293">
        <v>2071781472.4668705</v>
      </c>
      <c r="E293">
        <v>249740</v>
      </c>
      <c r="F293" s="4">
        <v>1759</v>
      </c>
      <c r="G293">
        <f t="shared" si="19"/>
        <v>439292660</v>
      </c>
      <c r="H293">
        <f t="shared" si="20"/>
        <v>20.255053799033956</v>
      </c>
      <c r="I293">
        <f t="shared" si="18"/>
        <v>10625632019.356663</v>
      </c>
      <c r="J293" s="6">
        <v>0.12</v>
      </c>
      <c r="K293" s="5">
        <f t="shared" si="21"/>
        <v>0.23283946732314889</v>
      </c>
      <c r="L293" s="7"/>
    </row>
    <row r="294" spans="1:12" x14ac:dyDescent="0.25">
      <c r="A294" t="s">
        <v>10</v>
      </c>
      <c r="B294">
        <v>1989</v>
      </c>
      <c r="C294">
        <v>8920892169.0715847</v>
      </c>
      <c r="D294">
        <v>1908852125.6322501</v>
      </c>
      <c r="E294">
        <v>252852</v>
      </c>
      <c r="F294" s="4">
        <v>1755</v>
      </c>
      <c r="G294">
        <f t="shared" si="19"/>
        <v>443755260</v>
      </c>
      <c r="H294">
        <f t="shared" si="20"/>
        <v>20.10318067907879</v>
      </c>
      <c r="I294">
        <f t="shared" si="18"/>
        <v>11259408302.666113</v>
      </c>
      <c r="J294" s="6">
        <v>0.12</v>
      </c>
      <c r="K294" s="5">
        <f t="shared" si="21"/>
        <v>0.21397547346779647</v>
      </c>
      <c r="L294" s="7"/>
    </row>
    <row r="295" spans="1:12" x14ac:dyDescent="0.25">
      <c r="A295" t="s">
        <v>10</v>
      </c>
      <c r="B295">
        <v>1990</v>
      </c>
      <c r="C295">
        <v>9025210435.7043495</v>
      </c>
      <c r="D295">
        <v>1966305136.5820916</v>
      </c>
      <c r="E295">
        <v>254826</v>
      </c>
      <c r="F295" s="4">
        <v>1744</v>
      </c>
      <c r="G295">
        <f t="shared" si="19"/>
        <v>444416544</v>
      </c>
      <c r="H295">
        <f t="shared" si="20"/>
        <v>20.307998335238278</v>
      </c>
      <c r="I295">
        <f t="shared" si="18"/>
        <v>11874584442.928272</v>
      </c>
      <c r="J295" s="6">
        <v>0.12</v>
      </c>
      <c r="K295" s="5">
        <f t="shared" si="21"/>
        <v>0.21786806530330352</v>
      </c>
      <c r="L295" s="7"/>
    </row>
    <row r="296" spans="1:12" x14ac:dyDescent="0.25">
      <c r="A296" t="s">
        <v>10</v>
      </c>
      <c r="B296">
        <v>1991</v>
      </c>
      <c r="C296">
        <v>9005036784.585083</v>
      </c>
      <c r="D296">
        <v>2017210061.8944132</v>
      </c>
      <c r="E296">
        <v>257797</v>
      </c>
      <c r="F296" s="4">
        <v>1748</v>
      </c>
      <c r="G296">
        <f t="shared" si="19"/>
        <v>450629156</v>
      </c>
      <c r="H296">
        <f t="shared" si="20"/>
        <v>19.983253779045498</v>
      </c>
      <c r="I296">
        <f t="shared" si="18"/>
        <v>12466844371.671293</v>
      </c>
      <c r="J296" s="6">
        <v>0.12</v>
      </c>
      <c r="K296" s="5">
        <f t="shared" si="21"/>
        <v>0.22400908626464411</v>
      </c>
      <c r="L296" s="7"/>
    </row>
    <row r="297" spans="1:12" x14ac:dyDescent="0.25">
      <c r="A297" t="s">
        <v>10</v>
      </c>
      <c r="B297">
        <v>1992</v>
      </c>
      <c r="C297">
        <v>8701216382.7894402</v>
      </c>
      <c r="D297">
        <v>1808348443.0413058</v>
      </c>
      <c r="E297">
        <v>261057</v>
      </c>
      <c r="F297" s="4">
        <v>1753</v>
      </c>
      <c r="G297">
        <f t="shared" si="19"/>
        <v>457632921</v>
      </c>
      <c r="H297">
        <f t="shared" si="20"/>
        <v>19.01352805601466</v>
      </c>
      <c r="I297">
        <f t="shared" si="18"/>
        <v>12779171490.112043</v>
      </c>
      <c r="J297" s="6">
        <v>0.12</v>
      </c>
      <c r="K297" s="5">
        <f t="shared" si="21"/>
        <v>0.20782708571851244</v>
      </c>
      <c r="L297" s="7"/>
    </row>
    <row r="298" spans="1:12" x14ac:dyDescent="0.25">
      <c r="A298" t="s">
        <v>10</v>
      </c>
      <c r="B298">
        <v>1993</v>
      </c>
      <c r="C298">
        <v>8815502462.2945042</v>
      </c>
      <c r="D298">
        <v>1631077279.0186901</v>
      </c>
      <c r="E298">
        <v>263725</v>
      </c>
      <c r="F298" s="4">
        <v>1756</v>
      </c>
      <c r="G298">
        <f t="shared" si="19"/>
        <v>463101100</v>
      </c>
      <c r="H298">
        <f t="shared" si="20"/>
        <v>19.03580549105693</v>
      </c>
      <c r="I298">
        <f t="shared" si="18"/>
        <v>12876748190.317289</v>
      </c>
      <c r="J298" s="6">
        <v>0.12</v>
      </c>
      <c r="K298" s="5">
        <f t="shared" si="21"/>
        <v>0.18502374493060403</v>
      </c>
      <c r="L298" s="7"/>
    </row>
    <row r="299" spans="1:12" x14ac:dyDescent="0.25">
      <c r="A299" t="s">
        <v>10</v>
      </c>
      <c r="B299">
        <v>1994</v>
      </c>
      <c r="C299">
        <v>9133641416.9509182</v>
      </c>
      <c r="D299">
        <v>1627645984.0539181</v>
      </c>
      <c r="E299">
        <v>266021</v>
      </c>
      <c r="F299" s="4">
        <v>1764</v>
      </c>
      <c r="G299">
        <f t="shared" si="19"/>
        <v>469261044</v>
      </c>
      <c r="H299">
        <f t="shared" si="20"/>
        <v>19.463881636317797</v>
      </c>
      <c r="I299">
        <f t="shared" si="18"/>
        <v>12959184391.533133</v>
      </c>
      <c r="J299" s="6">
        <v>0.12</v>
      </c>
      <c r="K299" s="5">
        <f t="shared" si="21"/>
        <v>0.17820340319395578</v>
      </c>
      <c r="L299" s="7"/>
    </row>
    <row r="300" spans="1:12" x14ac:dyDescent="0.25">
      <c r="A300" t="s">
        <v>10</v>
      </c>
      <c r="B300">
        <v>1995</v>
      </c>
      <c r="C300">
        <v>9144289754.9819889</v>
      </c>
      <c r="D300">
        <v>1599773265.7433748</v>
      </c>
      <c r="E300">
        <v>267468</v>
      </c>
      <c r="F300" s="4">
        <v>1734</v>
      </c>
      <c r="G300">
        <f t="shared" si="19"/>
        <v>463789512</v>
      </c>
      <c r="H300">
        <f t="shared" si="20"/>
        <v>19.716465160130635</v>
      </c>
      <c r="I300">
        <f t="shared" si="18"/>
        <v>13003855530.29253</v>
      </c>
      <c r="J300" s="6">
        <v>0.12</v>
      </c>
      <c r="K300" s="5">
        <f t="shared" si="21"/>
        <v>0.17494778803042488</v>
      </c>
      <c r="L300" s="7"/>
    </row>
    <row r="301" spans="1:12" x14ac:dyDescent="0.25">
      <c r="A301" t="s">
        <v>10</v>
      </c>
      <c r="B301">
        <v>1996</v>
      </c>
      <c r="C301">
        <v>9561920769.22616</v>
      </c>
      <c r="D301">
        <v>1956763495.2564094</v>
      </c>
      <c r="E301">
        <v>268916</v>
      </c>
      <c r="F301" s="4">
        <v>1759</v>
      </c>
      <c r="G301">
        <f t="shared" si="19"/>
        <v>473023244</v>
      </c>
      <c r="H301">
        <f t="shared" si="20"/>
        <v>20.214483940299051</v>
      </c>
      <c r="I301">
        <f t="shared" si="18"/>
        <v>13400156361.913836</v>
      </c>
      <c r="J301" s="6">
        <v>0.12</v>
      </c>
      <c r="K301" s="5">
        <f t="shared" si="21"/>
        <v>0.20464125801523128</v>
      </c>
      <c r="L301" s="7"/>
    </row>
    <row r="302" spans="1:12" x14ac:dyDescent="0.25">
      <c r="A302" t="s">
        <v>10</v>
      </c>
      <c r="B302">
        <v>1997</v>
      </c>
      <c r="C302">
        <v>10113797776.404722</v>
      </c>
      <c r="D302">
        <v>2176371239.6352749</v>
      </c>
      <c r="E302">
        <v>271128</v>
      </c>
      <c r="F302" s="4">
        <v>1737</v>
      </c>
      <c r="G302">
        <f t="shared" si="19"/>
        <v>470949336</v>
      </c>
      <c r="H302">
        <f t="shared" si="20"/>
        <v>21.475341407859471</v>
      </c>
      <c r="I302">
        <f t="shared" si="18"/>
        <v>13968508838.11945</v>
      </c>
      <c r="J302" s="6">
        <v>0.12</v>
      </c>
      <c r="K302" s="5">
        <f t="shared" si="21"/>
        <v>0.21518832863286066</v>
      </c>
      <c r="L302" s="7"/>
    </row>
    <row r="303" spans="1:12" x14ac:dyDescent="0.25">
      <c r="A303" t="s">
        <v>10</v>
      </c>
      <c r="B303">
        <v>1998</v>
      </c>
      <c r="C303">
        <v>10858456575.509472</v>
      </c>
      <c r="D303">
        <v>2841648455.0017123</v>
      </c>
      <c r="E303">
        <v>274047</v>
      </c>
      <c r="F303" s="4">
        <v>1741</v>
      </c>
      <c r="G303">
        <f t="shared" si="19"/>
        <v>477115827</v>
      </c>
      <c r="H303">
        <f t="shared" si="20"/>
        <v>22.758533590857954</v>
      </c>
      <c r="I303">
        <f t="shared" si="18"/>
        <v>15133936232.546829</v>
      </c>
      <c r="J303" s="6">
        <v>0.12</v>
      </c>
      <c r="K303" s="5">
        <f t="shared" si="21"/>
        <v>0.26169911305911209</v>
      </c>
      <c r="L303" s="7"/>
    </row>
    <row r="304" spans="1:12" x14ac:dyDescent="0.25">
      <c r="A304" t="s">
        <v>10</v>
      </c>
      <c r="B304">
        <v>1999</v>
      </c>
      <c r="C304">
        <v>11296586994.517035</v>
      </c>
      <c r="D304">
        <v>2746903750.8682842</v>
      </c>
      <c r="E304">
        <v>277381</v>
      </c>
      <c r="F304" s="4">
        <v>1742</v>
      </c>
      <c r="G304">
        <f t="shared" si="19"/>
        <v>483197702</v>
      </c>
      <c r="H304">
        <f t="shared" si="20"/>
        <v>23.378809435060258</v>
      </c>
      <c r="I304">
        <f t="shared" si="18"/>
        <v>16064767635.509495</v>
      </c>
      <c r="J304" s="6">
        <v>0.12</v>
      </c>
      <c r="K304" s="5">
        <f t="shared" si="21"/>
        <v>0.24316227124188347</v>
      </c>
      <c r="L304" s="7"/>
    </row>
    <row r="305" spans="1:12" x14ac:dyDescent="0.25">
      <c r="A305" t="s">
        <v>10</v>
      </c>
      <c r="B305">
        <v>2000</v>
      </c>
      <c r="C305">
        <v>11859726687.766937</v>
      </c>
      <c r="D305">
        <v>3074442517.0809526</v>
      </c>
      <c r="E305">
        <v>281205</v>
      </c>
      <c r="F305" s="4">
        <v>1729</v>
      </c>
      <c r="G305">
        <f t="shared" si="19"/>
        <v>486203445</v>
      </c>
      <c r="H305">
        <f t="shared" si="20"/>
        <v>24.392518830809472</v>
      </c>
      <c r="I305">
        <f t="shared" si="18"/>
        <v>17211438036.329308</v>
      </c>
      <c r="J305" s="6">
        <v>0.12</v>
      </c>
      <c r="K305" s="5">
        <f t="shared" si="21"/>
        <v>0.25923384223113477</v>
      </c>
      <c r="L305" s="7"/>
    </row>
    <row r="306" spans="1:12" x14ac:dyDescent="0.25">
      <c r="A306" t="s">
        <v>10</v>
      </c>
      <c r="B306">
        <v>2001</v>
      </c>
      <c r="C306">
        <v>12335716528.378798</v>
      </c>
      <c r="D306">
        <v>2955678899.802639</v>
      </c>
      <c r="E306">
        <v>284968</v>
      </c>
      <c r="F306" s="4">
        <v>1714</v>
      </c>
      <c r="G306">
        <f t="shared" si="19"/>
        <v>488435152</v>
      </c>
      <c r="H306">
        <f t="shared" si="20"/>
        <v>25.255587108887685</v>
      </c>
      <c r="I306">
        <f t="shared" si="18"/>
        <v>18101744371.77243</v>
      </c>
      <c r="J306" s="6">
        <v>0.12</v>
      </c>
      <c r="K306" s="5">
        <f t="shared" si="21"/>
        <v>0.2396033414842976</v>
      </c>
      <c r="L306" s="7"/>
    </row>
    <row r="307" spans="1:12" x14ac:dyDescent="0.25">
      <c r="A307" t="s">
        <v>10</v>
      </c>
      <c r="B307">
        <v>2002</v>
      </c>
      <c r="C307">
        <v>12404737216.257444</v>
      </c>
      <c r="D307">
        <v>2589658791.0998821</v>
      </c>
      <c r="E307">
        <v>287523</v>
      </c>
      <c r="F307" s="4">
        <v>1714</v>
      </c>
      <c r="G307">
        <f t="shared" si="19"/>
        <v>492814422</v>
      </c>
      <c r="H307">
        <f t="shared" si="20"/>
        <v>25.1712138738047</v>
      </c>
      <c r="I307">
        <f t="shared" si="18"/>
        <v>18519193838.259621</v>
      </c>
      <c r="J307" s="6">
        <v>0.12</v>
      </c>
      <c r="K307" s="5">
        <f t="shared" si="21"/>
        <v>0.20876369615520093</v>
      </c>
      <c r="L307" s="7"/>
    </row>
    <row r="308" spans="1:12" x14ac:dyDescent="0.25">
      <c r="A308" t="s">
        <v>10</v>
      </c>
      <c r="B308">
        <v>2003</v>
      </c>
      <c r="C308">
        <v>12670532078.994635</v>
      </c>
      <c r="D308">
        <v>2829262190.6164045</v>
      </c>
      <c r="E308">
        <v>289521</v>
      </c>
      <c r="F308" s="4">
        <v>1682</v>
      </c>
      <c r="G308">
        <f t="shared" si="19"/>
        <v>486974322</v>
      </c>
      <c r="H308">
        <f t="shared" si="20"/>
        <v>26.018891564871122</v>
      </c>
      <c r="I308">
        <f t="shared" si="18"/>
        <v>19126152768.28487</v>
      </c>
      <c r="J308" s="6">
        <v>0.12</v>
      </c>
      <c r="K308" s="5">
        <f t="shared" si="21"/>
        <v>0.22329466300052153</v>
      </c>
      <c r="L308" s="7"/>
    </row>
    <row r="309" spans="1:12" x14ac:dyDescent="0.25">
      <c r="A309" t="s">
        <v>10</v>
      </c>
      <c r="B309">
        <v>2004</v>
      </c>
      <c r="C309">
        <v>13659137611.528231</v>
      </c>
      <c r="D309">
        <v>3574621390.7567525</v>
      </c>
      <c r="E309">
        <v>292074</v>
      </c>
      <c r="F309" s="4">
        <v>1687</v>
      </c>
      <c r="G309">
        <f t="shared" si="19"/>
        <v>492728838</v>
      </c>
      <c r="H309">
        <f t="shared" si="20"/>
        <v>27.72140893350397</v>
      </c>
      <c r="I309">
        <f t="shared" si="18"/>
        <v>20405635826.847439</v>
      </c>
      <c r="J309" s="6">
        <v>0.12</v>
      </c>
      <c r="K309" s="5">
        <f t="shared" si="21"/>
        <v>0.26170183597387536</v>
      </c>
      <c r="L309" s="7"/>
    </row>
    <row r="310" spans="1:12" x14ac:dyDescent="0.25">
      <c r="A310" t="s">
        <v>10</v>
      </c>
      <c r="B310">
        <v>2005</v>
      </c>
      <c r="C310">
        <v>14495683157.737547</v>
      </c>
      <c r="D310">
        <v>4655693186.3779697</v>
      </c>
      <c r="E310">
        <v>296734</v>
      </c>
      <c r="F310" s="4">
        <v>1615</v>
      </c>
      <c r="G310">
        <f t="shared" si="19"/>
        <v>479225410</v>
      </c>
      <c r="H310">
        <f t="shared" si="20"/>
        <v>30.24815223745658</v>
      </c>
      <c r="I310">
        <f t="shared" si="18"/>
        <v>22612652714.003716</v>
      </c>
      <c r="J310" s="6">
        <v>0.12</v>
      </c>
      <c r="K310" s="5">
        <f t="shared" si="21"/>
        <v>0.32117790763747761</v>
      </c>
      <c r="L310" s="7"/>
    </row>
    <row r="311" spans="1:12" x14ac:dyDescent="0.25">
      <c r="A311" t="s">
        <v>10</v>
      </c>
      <c r="B311">
        <v>2006</v>
      </c>
      <c r="C311">
        <v>15411374460.634037</v>
      </c>
      <c r="D311">
        <v>5764490905.3613091</v>
      </c>
      <c r="E311">
        <v>303782</v>
      </c>
      <c r="F311" s="4">
        <v>1588</v>
      </c>
      <c r="G311">
        <f t="shared" si="19"/>
        <v>482405816</v>
      </c>
      <c r="H311">
        <f t="shared" si="20"/>
        <v>31.946908493810607</v>
      </c>
      <c r="I311">
        <f t="shared" ref="I311:I327" si="22">I310-(I310*J310)+D311</f>
        <v>25663625293.684578</v>
      </c>
      <c r="J311" s="6">
        <v>0.12</v>
      </c>
      <c r="K311" s="5">
        <f t="shared" si="21"/>
        <v>0.37404132383427618</v>
      </c>
      <c r="L311" s="7"/>
    </row>
    <row r="312" spans="1:12" x14ac:dyDescent="0.25">
      <c r="A312" t="s">
        <v>10</v>
      </c>
      <c r="B312">
        <v>2007</v>
      </c>
      <c r="C312">
        <v>16714384610.171278</v>
      </c>
      <c r="D312">
        <v>5129767551.8991146</v>
      </c>
      <c r="E312">
        <v>311566</v>
      </c>
      <c r="F312" s="4">
        <v>1554</v>
      </c>
      <c r="G312">
        <f t="shared" si="19"/>
        <v>484173564</v>
      </c>
      <c r="H312">
        <f t="shared" si="20"/>
        <v>34.52147298602052</v>
      </c>
      <c r="I312">
        <f t="shared" si="22"/>
        <v>27713757810.341545</v>
      </c>
      <c r="J312" s="6">
        <v>0.12</v>
      </c>
      <c r="K312" s="5">
        <f t="shared" si="21"/>
        <v>0.30690735384762385</v>
      </c>
      <c r="L312" s="7"/>
    </row>
    <row r="313" spans="1:12" x14ac:dyDescent="0.25">
      <c r="A313" t="s">
        <v>10</v>
      </c>
      <c r="B313">
        <v>2008</v>
      </c>
      <c r="C313">
        <v>17083688339.560976</v>
      </c>
      <c r="D313">
        <v>4182924458.2607083</v>
      </c>
      <c r="E313">
        <v>317414</v>
      </c>
      <c r="F313" s="4">
        <v>1625</v>
      </c>
      <c r="G313">
        <f t="shared" si="19"/>
        <v>515797750</v>
      </c>
      <c r="H313">
        <f t="shared" si="20"/>
        <v>33.120905121360025</v>
      </c>
      <c r="I313">
        <f t="shared" si="22"/>
        <v>28571031331.361267</v>
      </c>
      <c r="J313" s="6">
        <v>0.12</v>
      </c>
      <c r="K313" s="5">
        <f t="shared" si="21"/>
        <v>0.24484902645842829</v>
      </c>
      <c r="L313" s="7"/>
    </row>
    <row r="314" spans="1:12" x14ac:dyDescent="0.25">
      <c r="A314" t="s">
        <v>10</v>
      </c>
      <c r="B314">
        <v>2009</v>
      </c>
      <c r="C314">
        <v>15774426999.34877</v>
      </c>
      <c r="D314">
        <v>2197817765.5574908</v>
      </c>
      <c r="E314">
        <v>318499</v>
      </c>
      <c r="F314" s="4">
        <v>1536</v>
      </c>
      <c r="G314">
        <f t="shared" si="19"/>
        <v>489214464</v>
      </c>
      <c r="H314">
        <f t="shared" si="20"/>
        <v>32.244400278706337</v>
      </c>
      <c r="I314">
        <f t="shared" si="22"/>
        <v>27340325337.155407</v>
      </c>
      <c r="J314" s="6">
        <v>0.12</v>
      </c>
      <c r="K314" s="5">
        <f t="shared" si="21"/>
        <v>0.13932789860755165</v>
      </c>
      <c r="L314" s="7"/>
    </row>
    <row r="315" spans="1:12" x14ac:dyDescent="0.25">
      <c r="A315" t="s">
        <v>10</v>
      </c>
      <c r="B315">
        <v>2010</v>
      </c>
      <c r="C315">
        <v>15327572988.261784</v>
      </c>
      <c r="D315">
        <v>2012955911.6933317</v>
      </c>
      <c r="E315">
        <v>318041</v>
      </c>
      <c r="F315" s="4">
        <v>1528</v>
      </c>
      <c r="G315">
        <f t="shared" si="19"/>
        <v>485966648</v>
      </c>
      <c r="H315">
        <f t="shared" si="20"/>
        <v>31.540380500066298</v>
      </c>
      <c r="I315">
        <f t="shared" si="22"/>
        <v>26072442208.390091</v>
      </c>
      <c r="J315" s="6">
        <v>0.12</v>
      </c>
      <c r="K315" s="5">
        <f t="shared" si="21"/>
        <v>0.13132907037760647</v>
      </c>
      <c r="L315" s="7"/>
    </row>
    <row r="316" spans="1:12" x14ac:dyDescent="0.25">
      <c r="A316" t="s">
        <v>10</v>
      </c>
      <c r="B316">
        <v>2011</v>
      </c>
      <c r="C316">
        <v>15610486135.636927</v>
      </c>
      <c r="D316">
        <v>2232964963.8217158</v>
      </c>
      <c r="E316">
        <v>319014</v>
      </c>
      <c r="F316" s="4">
        <v>1538</v>
      </c>
      <c r="G316">
        <f t="shared" si="19"/>
        <v>490643532</v>
      </c>
      <c r="H316">
        <f t="shared" si="20"/>
        <v>31.816349584807991</v>
      </c>
      <c r="I316">
        <f t="shared" si="22"/>
        <v>25176714107.204998</v>
      </c>
      <c r="J316" s="6">
        <v>0.12</v>
      </c>
      <c r="K316" s="5">
        <f t="shared" si="21"/>
        <v>0.14304262816800536</v>
      </c>
      <c r="L316" s="7"/>
    </row>
    <row r="317" spans="1:12" x14ac:dyDescent="0.25">
      <c r="A317" t="s">
        <v>10</v>
      </c>
      <c r="B317">
        <v>2012</v>
      </c>
      <c r="C317">
        <v>15776524980.774536</v>
      </c>
      <c r="D317">
        <v>2347768892.5447736</v>
      </c>
      <c r="E317">
        <v>320716</v>
      </c>
      <c r="F317" s="4">
        <v>1523</v>
      </c>
      <c r="G317">
        <f t="shared" si="19"/>
        <v>488450468</v>
      </c>
      <c r="H317">
        <f t="shared" si="20"/>
        <v>32.29912962387526</v>
      </c>
      <c r="I317">
        <f t="shared" si="22"/>
        <v>24503277306.88517</v>
      </c>
      <c r="J317" s="6">
        <v>0.12</v>
      </c>
      <c r="K317" s="5">
        <f t="shared" si="21"/>
        <v>0.14881406998092375</v>
      </c>
      <c r="L317" s="7"/>
    </row>
    <row r="318" spans="1:12" x14ac:dyDescent="0.25">
      <c r="A318" t="s">
        <v>10</v>
      </c>
      <c r="B318">
        <v>2013</v>
      </c>
      <c r="C318">
        <v>16494745020.423021</v>
      </c>
      <c r="D318">
        <v>2400189736.2766876</v>
      </c>
      <c r="E318">
        <v>323764</v>
      </c>
      <c r="F318" s="4">
        <v>1524</v>
      </c>
      <c r="G318">
        <f t="shared" si="19"/>
        <v>493416336</v>
      </c>
      <c r="H318">
        <f t="shared" si="20"/>
        <v>33.42966946360491</v>
      </c>
      <c r="I318">
        <f t="shared" si="22"/>
        <v>23963073766.335636</v>
      </c>
      <c r="J318" s="6">
        <v>0.12</v>
      </c>
      <c r="K318" s="5">
        <f t="shared" si="21"/>
        <v>0.14551238793354399</v>
      </c>
      <c r="L318" s="7"/>
    </row>
    <row r="319" spans="1:12" x14ac:dyDescent="0.25">
      <c r="A319" t="s">
        <v>10</v>
      </c>
      <c r="B319">
        <v>2014</v>
      </c>
      <c r="C319">
        <v>16773046835.50699</v>
      </c>
      <c r="D319">
        <v>2787697305.2017627</v>
      </c>
      <c r="E319">
        <v>327386</v>
      </c>
      <c r="F319" s="4">
        <v>1513</v>
      </c>
      <c r="G319">
        <f t="shared" si="19"/>
        <v>495335018</v>
      </c>
      <c r="H319">
        <f t="shared" si="20"/>
        <v>33.862025146598846</v>
      </c>
      <c r="I319">
        <f t="shared" si="22"/>
        <v>23875202219.577122</v>
      </c>
      <c r="J319" s="6">
        <v>0.12</v>
      </c>
      <c r="K319" s="5">
        <f t="shared" si="21"/>
        <v>0.16620100882926439</v>
      </c>
      <c r="L319" s="7"/>
    </row>
    <row r="320" spans="1:12" x14ac:dyDescent="0.25">
      <c r="A320" t="s">
        <v>10</v>
      </c>
      <c r="B320">
        <v>2015</v>
      </c>
      <c r="C320">
        <v>17517210519.091156</v>
      </c>
      <c r="D320">
        <v>3386606655.8119226</v>
      </c>
      <c r="E320">
        <v>330815</v>
      </c>
      <c r="F320" s="4">
        <v>1511</v>
      </c>
      <c r="G320">
        <f t="shared" si="19"/>
        <v>499861465</v>
      </c>
      <c r="H320">
        <f t="shared" si="20"/>
        <v>35.044130715479653</v>
      </c>
      <c r="I320">
        <f t="shared" si="22"/>
        <v>24396784609.039791</v>
      </c>
      <c r="J320" s="6">
        <v>0.12</v>
      </c>
      <c r="K320" s="5">
        <f t="shared" si="21"/>
        <v>0.19333024810776947</v>
      </c>
      <c r="L320" s="7"/>
    </row>
    <row r="321" spans="1:12" x14ac:dyDescent="0.25">
      <c r="A321" t="s">
        <v>10</v>
      </c>
      <c r="B321">
        <v>2016</v>
      </c>
      <c r="C321">
        <v>18621440660.001873</v>
      </c>
      <c r="D321">
        <v>3995819723.1288495</v>
      </c>
      <c r="E321">
        <v>335439</v>
      </c>
      <c r="F321" s="4">
        <v>1520</v>
      </c>
      <c r="G321">
        <f t="shared" si="19"/>
        <v>509867280</v>
      </c>
      <c r="H321">
        <f t="shared" si="20"/>
        <v>36.522133093149009</v>
      </c>
      <c r="I321">
        <f t="shared" si="22"/>
        <v>25464990179.083866</v>
      </c>
      <c r="J321" s="6">
        <v>0.12</v>
      </c>
      <c r="K321" s="5">
        <f t="shared" si="21"/>
        <v>0.21458166401226486</v>
      </c>
      <c r="L321" s="7"/>
    </row>
    <row r="322" spans="1:12" x14ac:dyDescent="0.25">
      <c r="A322" t="s">
        <v>10</v>
      </c>
      <c r="B322">
        <v>2017</v>
      </c>
      <c r="C322">
        <v>19402600566.927147</v>
      </c>
      <c r="D322">
        <v>4418002017.5298605</v>
      </c>
      <c r="E322">
        <v>343400</v>
      </c>
      <c r="F322" s="4">
        <v>1507</v>
      </c>
      <c r="G322">
        <f t="shared" si="19"/>
        <v>517503800</v>
      </c>
      <c r="H322">
        <f t="shared" si="20"/>
        <v>37.492672646900651</v>
      </c>
      <c r="I322">
        <f t="shared" si="22"/>
        <v>26827193375.123665</v>
      </c>
      <c r="J322" s="6">
        <v>0.12</v>
      </c>
      <c r="K322" s="5">
        <f t="shared" si="21"/>
        <v>0.22770153940398072</v>
      </c>
      <c r="L322" s="7"/>
    </row>
    <row r="323" spans="1:12" x14ac:dyDescent="0.25">
      <c r="A323" t="s">
        <v>10</v>
      </c>
      <c r="B323">
        <v>2018</v>
      </c>
      <c r="C323">
        <v>20351227274.146957</v>
      </c>
      <c r="D323">
        <v>4519807562.4725676</v>
      </c>
      <c r="E323">
        <v>352721</v>
      </c>
      <c r="F323" s="4">
        <v>1496</v>
      </c>
      <c r="G323">
        <f t="shared" ref="G323:G386" si="23">E323*F323</f>
        <v>527670616</v>
      </c>
      <c r="H323">
        <f t="shared" ref="H323:H386" si="24">C323/G323</f>
        <v>38.56805108538952</v>
      </c>
      <c r="I323">
        <f t="shared" si="22"/>
        <v>28127737732.581394</v>
      </c>
      <c r="J323" s="6">
        <v>0.12</v>
      </c>
      <c r="K323" s="5">
        <f t="shared" ref="K323:K386" si="25">D323/C323</f>
        <v>0.2220901718401167</v>
      </c>
      <c r="L323" s="7"/>
    </row>
    <row r="324" spans="1:12" x14ac:dyDescent="0.25">
      <c r="A324" t="s">
        <v>10</v>
      </c>
      <c r="B324">
        <v>2019</v>
      </c>
      <c r="C324">
        <v>20729999827.290714</v>
      </c>
      <c r="D324">
        <v>4334485660.1382437</v>
      </c>
      <c r="E324">
        <v>360563</v>
      </c>
      <c r="F324" s="4">
        <v>1480</v>
      </c>
      <c r="G324">
        <f t="shared" si="23"/>
        <v>533633240</v>
      </c>
      <c r="H324">
        <f t="shared" si="24"/>
        <v>38.846905090265203</v>
      </c>
      <c r="I324">
        <f t="shared" si="22"/>
        <v>29086894864.809872</v>
      </c>
      <c r="J324" s="6">
        <v>0.12</v>
      </c>
      <c r="K324" s="5">
        <f t="shared" si="25"/>
        <v>0.20909241178246235</v>
      </c>
      <c r="L324" s="7"/>
    </row>
    <row r="325" spans="1:12" x14ac:dyDescent="0.25">
      <c r="A325" t="s">
        <v>10</v>
      </c>
      <c r="B325">
        <v>2020</v>
      </c>
      <c r="C325">
        <v>19291243912.706753</v>
      </c>
      <c r="D325">
        <v>4014283662.2392459</v>
      </c>
      <c r="E325">
        <v>366463</v>
      </c>
      <c r="F325" s="4">
        <v>1464</v>
      </c>
      <c r="G325">
        <f t="shared" si="23"/>
        <v>536501832</v>
      </c>
      <c r="H325">
        <f t="shared" si="24"/>
        <v>35.957461395410022</v>
      </c>
      <c r="I325">
        <f t="shared" si="22"/>
        <v>29610751143.271935</v>
      </c>
      <c r="J325" s="6">
        <v>0.12</v>
      </c>
      <c r="K325" s="5">
        <f t="shared" si="25"/>
        <v>0.20808837835465438</v>
      </c>
      <c r="L325" s="7"/>
    </row>
    <row r="326" spans="1:12" x14ac:dyDescent="0.25">
      <c r="A326" t="s">
        <v>10</v>
      </c>
      <c r="B326">
        <v>2021</v>
      </c>
      <c r="C326">
        <v>20304846331.877651</v>
      </c>
      <c r="D326">
        <v>4589244809.9177332</v>
      </c>
      <c r="E326">
        <v>372520</v>
      </c>
      <c r="F326" s="4">
        <v>1459</v>
      </c>
      <c r="G326">
        <f t="shared" si="23"/>
        <v>543506680</v>
      </c>
      <c r="H326">
        <f t="shared" si="24"/>
        <v>37.358963705611956</v>
      </c>
      <c r="I326">
        <f t="shared" si="22"/>
        <v>30646705815.997036</v>
      </c>
      <c r="J326" s="6">
        <v>0.12</v>
      </c>
      <c r="K326" s="5">
        <f t="shared" si="25"/>
        <v>0.22601721455595727</v>
      </c>
      <c r="L326" s="7"/>
    </row>
    <row r="327" spans="1:12" x14ac:dyDescent="0.25">
      <c r="A327" t="s">
        <v>10</v>
      </c>
      <c r="B327">
        <v>2022</v>
      </c>
      <c r="C327">
        <v>22130761184.017059</v>
      </c>
      <c r="D327">
        <v>5308644917.214325</v>
      </c>
      <c r="E327">
        <v>382003</v>
      </c>
      <c r="F327" s="4">
        <v>1459</v>
      </c>
      <c r="G327">
        <f t="shared" si="23"/>
        <v>557342377</v>
      </c>
      <c r="H327">
        <f t="shared" si="24"/>
        <v>39.707659236572027</v>
      </c>
      <c r="I327">
        <f t="shared" si="22"/>
        <v>32277746035.291718</v>
      </c>
      <c r="J327" s="6">
        <v>0.12</v>
      </c>
      <c r="K327" s="5">
        <f t="shared" si="25"/>
        <v>0.23987629133372301</v>
      </c>
      <c r="L327" s="7"/>
    </row>
    <row r="328" spans="1:12" x14ac:dyDescent="0.25">
      <c r="A328" t="s">
        <v>11</v>
      </c>
      <c r="B328">
        <v>1980</v>
      </c>
      <c r="C328">
        <v>57810564481.490173</v>
      </c>
      <c r="D328">
        <v>15020850686.86211</v>
      </c>
      <c r="E328">
        <v>3412800</v>
      </c>
      <c r="F328" s="4">
        <v>2081</v>
      </c>
      <c r="G328">
        <f t="shared" si="23"/>
        <v>7102036800</v>
      </c>
      <c r="H328">
        <f t="shared" si="24"/>
        <v>8.1399978780017275</v>
      </c>
      <c r="I328">
        <f>D328</f>
        <v>15020850686.86211</v>
      </c>
      <c r="J328" s="6">
        <v>0.12</v>
      </c>
      <c r="K328" s="5">
        <f t="shared" si="25"/>
        <v>0.25982881886011505</v>
      </c>
      <c r="L328" s="7"/>
    </row>
    <row r="329" spans="1:12" x14ac:dyDescent="0.25">
      <c r="A329" t="s">
        <v>11</v>
      </c>
      <c r="B329">
        <v>1981</v>
      </c>
      <c r="C329">
        <v>59732889873.093689</v>
      </c>
      <c r="D329">
        <v>16452319809.062891</v>
      </c>
      <c r="E329">
        <v>3453000</v>
      </c>
      <c r="F329" s="4">
        <v>2050</v>
      </c>
      <c r="G329">
        <f t="shared" si="23"/>
        <v>7078650000</v>
      </c>
      <c r="H329">
        <f t="shared" si="24"/>
        <v>8.4384578801174932</v>
      </c>
      <c r="I329">
        <f>I328-(I328*J328)+D329</f>
        <v>29670668413.501549</v>
      </c>
      <c r="J329" s="6">
        <v>0.12</v>
      </c>
      <c r="K329" s="5">
        <f t="shared" si="25"/>
        <v>0.27543150589259763</v>
      </c>
      <c r="L329" s="7"/>
    </row>
    <row r="330" spans="1:12" x14ac:dyDescent="0.25">
      <c r="A330" t="s">
        <v>11</v>
      </c>
      <c r="B330">
        <v>1982</v>
      </c>
      <c r="C330">
        <v>61096871764.20932</v>
      </c>
      <c r="D330">
        <v>15890914052.996874</v>
      </c>
      <c r="E330">
        <v>3485800</v>
      </c>
      <c r="F330" s="4">
        <v>2043</v>
      </c>
      <c r="G330">
        <f t="shared" si="23"/>
        <v>7121489400</v>
      </c>
      <c r="H330">
        <f t="shared" si="24"/>
        <v>8.5792266662938967</v>
      </c>
      <c r="I330">
        <f t="shared" ref="I330:I369" si="26">I329-(I329*J329)+D330</f>
        <v>42001102256.878235</v>
      </c>
      <c r="J330" s="6">
        <v>0.12</v>
      </c>
      <c r="K330" s="5">
        <f t="shared" si="25"/>
        <v>0.26009374284046088</v>
      </c>
      <c r="L330" s="7"/>
    </row>
    <row r="331" spans="1:12" x14ac:dyDescent="0.25">
      <c r="A331" t="s">
        <v>11</v>
      </c>
      <c r="B331">
        <v>1983</v>
      </c>
      <c r="C331">
        <v>60947611214.059319</v>
      </c>
      <c r="D331">
        <v>14415406145.141405</v>
      </c>
      <c r="E331">
        <v>3510600</v>
      </c>
      <c r="F331" s="4">
        <v>2033</v>
      </c>
      <c r="G331">
        <f t="shared" si="23"/>
        <v>7137049800</v>
      </c>
      <c r="H331">
        <f t="shared" si="24"/>
        <v>8.5396085107966204</v>
      </c>
      <c r="I331">
        <f t="shared" si="26"/>
        <v>51376376131.194252</v>
      </c>
      <c r="J331" s="6">
        <v>0.12</v>
      </c>
      <c r="K331" s="5">
        <f t="shared" si="25"/>
        <v>0.23652126569016502</v>
      </c>
      <c r="L331" s="7"/>
    </row>
    <row r="332" spans="1:12" x14ac:dyDescent="0.25">
      <c r="A332" t="s">
        <v>11</v>
      </c>
      <c r="B332">
        <v>1984</v>
      </c>
      <c r="C332">
        <v>63601497258.635101</v>
      </c>
      <c r="D332">
        <v>14052751871.224609</v>
      </c>
      <c r="E332">
        <v>3532423</v>
      </c>
      <c r="F332" s="4">
        <v>2015</v>
      </c>
      <c r="G332">
        <f t="shared" si="23"/>
        <v>7117832345</v>
      </c>
      <c r="H332">
        <f t="shared" si="24"/>
        <v>8.9355149399258718</v>
      </c>
      <c r="I332">
        <f t="shared" si="26"/>
        <v>59263962866.675552</v>
      </c>
      <c r="J332" s="6">
        <v>0.12</v>
      </c>
      <c r="K332" s="5">
        <f t="shared" si="25"/>
        <v>0.22095001653937768</v>
      </c>
      <c r="L332" s="7"/>
    </row>
    <row r="333" spans="1:12" x14ac:dyDescent="0.25">
      <c r="A333" t="s">
        <v>11</v>
      </c>
      <c r="B333">
        <v>1985</v>
      </c>
      <c r="C333">
        <v>65563994783.469482</v>
      </c>
      <c r="D333">
        <v>12968619087.972656</v>
      </c>
      <c r="E333">
        <v>3538082</v>
      </c>
      <c r="F333" s="4">
        <v>2022</v>
      </c>
      <c r="G333">
        <f t="shared" si="23"/>
        <v>7154001804</v>
      </c>
      <c r="H333">
        <f t="shared" si="24"/>
        <v>9.1646600853260676</v>
      </c>
      <c r="I333">
        <f t="shared" si="26"/>
        <v>65120906410.647141</v>
      </c>
      <c r="J333" s="6">
        <v>0.12</v>
      </c>
      <c r="K333" s="5">
        <f t="shared" si="25"/>
        <v>0.19780092916550607</v>
      </c>
      <c r="L333" s="7"/>
    </row>
    <row r="334" spans="1:12" x14ac:dyDescent="0.25">
      <c r="A334" t="s">
        <v>11</v>
      </c>
      <c r="B334">
        <v>1986</v>
      </c>
      <c r="C334">
        <v>65283163756.697609</v>
      </c>
      <c r="D334">
        <v>12606347596.003124</v>
      </c>
      <c r="E334">
        <v>3539690</v>
      </c>
      <c r="F334" s="4">
        <v>2056</v>
      </c>
      <c r="G334">
        <f t="shared" si="23"/>
        <v>7277602640</v>
      </c>
      <c r="H334">
        <f t="shared" si="24"/>
        <v>8.9704215778257446</v>
      </c>
      <c r="I334">
        <f t="shared" si="26"/>
        <v>69912745237.372604</v>
      </c>
      <c r="J334" s="6">
        <v>0.12</v>
      </c>
      <c r="K334" s="5">
        <f t="shared" si="25"/>
        <v>0.1931025837379059</v>
      </c>
      <c r="L334" s="7"/>
    </row>
    <row r="335" spans="1:12" x14ac:dyDescent="0.25">
      <c r="A335" t="s">
        <v>11</v>
      </c>
      <c r="B335">
        <v>1987</v>
      </c>
      <c r="C335">
        <v>68327377545.708153</v>
      </c>
      <c r="D335">
        <v>12462903112.425779</v>
      </c>
      <c r="E335">
        <v>3540057</v>
      </c>
      <c r="F335" s="4">
        <v>2036</v>
      </c>
      <c r="G335">
        <f t="shared" si="23"/>
        <v>7207556052</v>
      </c>
      <c r="H335">
        <f t="shared" si="24"/>
        <v>9.4799647831733793</v>
      </c>
      <c r="I335">
        <f t="shared" si="26"/>
        <v>73986118921.313675</v>
      </c>
      <c r="J335" s="6">
        <v>0.12</v>
      </c>
      <c r="K335" s="5">
        <f t="shared" si="25"/>
        <v>0.18239984556832464</v>
      </c>
      <c r="L335" s="7"/>
    </row>
    <row r="336" spans="1:12" x14ac:dyDescent="0.25">
      <c r="A336" t="s">
        <v>11</v>
      </c>
      <c r="B336">
        <v>1988</v>
      </c>
      <c r="C336">
        <v>71892300157.956589</v>
      </c>
      <c r="D336">
        <v>13115353277.2707</v>
      </c>
      <c r="E336">
        <v>3524949</v>
      </c>
      <c r="F336" s="4">
        <v>2044</v>
      </c>
      <c r="G336">
        <f t="shared" si="23"/>
        <v>7204995756</v>
      </c>
      <c r="H336">
        <f t="shared" si="24"/>
        <v>9.9781183213172451</v>
      </c>
      <c r="I336">
        <f t="shared" si="26"/>
        <v>78223137928.026733</v>
      </c>
      <c r="J336" s="6">
        <v>0.12</v>
      </c>
      <c r="K336" s="5">
        <f t="shared" si="25"/>
        <v>0.18243056973354016</v>
      </c>
      <c r="L336" s="7"/>
    </row>
    <row r="337" spans="1:12" x14ac:dyDescent="0.25">
      <c r="A337" t="s">
        <v>11</v>
      </c>
      <c r="B337">
        <v>1989</v>
      </c>
      <c r="C337">
        <v>76072060448.057755</v>
      </c>
      <c r="D337">
        <v>14444583005.626169</v>
      </c>
      <c r="E337">
        <v>3511009</v>
      </c>
      <c r="F337" s="4">
        <v>2051</v>
      </c>
      <c r="G337">
        <f t="shared" si="23"/>
        <v>7201079459</v>
      </c>
      <c r="H337">
        <f t="shared" si="24"/>
        <v>10.563980147862683</v>
      </c>
      <c r="I337">
        <f t="shared" si="26"/>
        <v>83280944382.289703</v>
      </c>
      <c r="J337" s="6">
        <v>0.12</v>
      </c>
      <c r="K337" s="5">
        <f t="shared" si="25"/>
        <v>0.18988026511374667</v>
      </c>
      <c r="L337" s="7"/>
    </row>
    <row r="338" spans="1:12" x14ac:dyDescent="0.25">
      <c r="A338" t="s">
        <v>11</v>
      </c>
      <c r="B338">
        <v>1990</v>
      </c>
      <c r="C338">
        <v>82512722864.439789</v>
      </c>
      <c r="D338">
        <v>16380447783.033981</v>
      </c>
      <c r="E338">
        <v>3513974</v>
      </c>
      <c r="F338" s="4">
        <v>2040</v>
      </c>
      <c r="G338">
        <f t="shared" si="23"/>
        <v>7168506960</v>
      </c>
      <c r="H338">
        <f t="shared" si="24"/>
        <v>11.510447478792681</v>
      </c>
      <c r="I338">
        <f t="shared" si="26"/>
        <v>89667678839.448929</v>
      </c>
      <c r="J338" s="6">
        <v>0.12</v>
      </c>
      <c r="K338" s="5">
        <f t="shared" si="25"/>
        <v>0.19852026711014531</v>
      </c>
      <c r="L338" s="7"/>
    </row>
    <row r="339" spans="1:12" x14ac:dyDescent="0.25">
      <c r="A339" t="s">
        <v>11</v>
      </c>
      <c r="B339">
        <v>1991</v>
      </c>
      <c r="C339">
        <v>84104920462.028061</v>
      </c>
      <c r="D339">
        <v>15236447903.229685</v>
      </c>
      <c r="E339">
        <v>3534235</v>
      </c>
      <c r="F339" s="4">
        <v>2006</v>
      </c>
      <c r="G339">
        <f t="shared" si="23"/>
        <v>7089675410</v>
      </c>
      <c r="H339">
        <f t="shared" si="24"/>
        <v>11.863014256392884</v>
      </c>
      <c r="I339">
        <f t="shared" si="26"/>
        <v>94144005281.944748</v>
      </c>
      <c r="J339" s="6">
        <v>0.12</v>
      </c>
      <c r="K339" s="5">
        <f t="shared" si="25"/>
        <v>0.18116000609154231</v>
      </c>
      <c r="L339" s="7"/>
    </row>
    <row r="340" spans="1:12" x14ac:dyDescent="0.25">
      <c r="A340" t="s">
        <v>11</v>
      </c>
      <c r="B340">
        <v>1992</v>
      </c>
      <c r="C340">
        <v>86916778951.971024</v>
      </c>
      <c r="D340">
        <v>15232394852.64023</v>
      </c>
      <c r="E340">
        <v>3558430</v>
      </c>
      <c r="F340" s="4">
        <v>1958</v>
      </c>
      <c r="G340">
        <f t="shared" si="23"/>
        <v>6967405940</v>
      </c>
      <c r="H340">
        <f t="shared" si="24"/>
        <v>12.474768902581127</v>
      </c>
      <c r="I340">
        <f t="shared" si="26"/>
        <v>98079119500.751602</v>
      </c>
      <c r="J340" s="6">
        <v>0.12</v>
      </c>
      <c r="K340" s="5">
        <f t="shared" si="25"/>
        <v>0.17525263863099938</v>
      </c>
      <c r="L340" s="7"/>
    </row>
    <row r="341" spans="1:12" x14ac:dyDescent="0.25">
      <c r="A341" t="s">
        <v>11</v>
      </c>
      <c r="B341">
        <v>1993</v>
      </c>
      <c r="C341">
        <v>89257107777.553055</v>
      </c>
      <c r="D341">
        <v>14458092434.582418</v>
      </c>
      <c r="E341">
        <v>3576261</v>
      </c>
      <c r="F341" s="4">
        <v>1932</v>
      </c>
      <c r="G341">
        <f t="shared" si="23"/>
        <v>6909336252</v>
      </c>
      <c r="H341">
        <f t="shared" si="24"/>
        <v>12.918333183121083</v>
      </c>
      <c r="I341">
        <f t="shared" si="26"/>
        <v>100767717595.24382</v>
      </c>
      <c r="J341" s="6">
        <v>0.12</v>
      </c>
      <c r="K341" s="5">
        <f t="shared" si="25"/>
        <v>0.16198253331953055</v>
      </c>
      <c r="L341" s="7"/>
    </row>
    <row r="342" spans="1:12" x14ac:dyDescent="0.25">
      <c r="A342" t="s">
        <v>11</v>
      </c>
      <c r="B342">
        <v>1994</v>
      </c>
      <c r="C342">
        <v>94394592937.764374</v>
      </c>
      <c r="D342">
        <v>16169632567.224997</v>
      </c>
      <c r="E342">
        <v>3590386</v>
      </c>
      <c r="F342" s="4">
        <v>1932</v>
      </c>
      <c r="G342">
        <f t="shared" si="23"/>
        <v>6936625752</v>
      </c>
      <c r="H342">
        <f t="shared" si="24"/>
        <v>13.608142678095051</v>
      </c>
      <c r="I342">
        <f t="shared" si="26"/>
        <v>104845224051.03955</v>
      </c>
      <c r="J342" s="6">
        <v>0.12</v>
      </c>
      <c r="K342" s="5">
        <f t="shared" si="25"/>
        <v>0.17129829224313572</v>
      </c>
      <c r="L342" s="7"/>
    </row>
    <row r="343" spans="1:12" x14ac:dyDescent="0.25">
      <c r="A343" t="s">
        <v>11</v>
      </c>
      <c r="B343">
        <v>1995</v>
      </c>
      <c r="C343">
        <v>103488967205.19835</v>
      </c>
      <c r="D343">
        <v>18722896887.749996</v>
      </c>
      <c r="E343">
        <v>3608841</v>
      </c>
      <c r="F343" s="4">
        <v>1962</v>
      </c>
      <c r="G343">
        <f t="shared" si="23"/>
        <v>7080546042</v>
      </c>
      <c r="H343">
        <f t="shared" si="24"/>
        <v>14.615958513838917</v>
      </c>
      <c r="I343">
        <f t="shared" si="26"/>
        <v>110986694052.66481</v>
      </c>
      <c r="J343" s="6">
        <v>0.12</v>
      </c>
      <c r="K343" s="5">
        <f t="shared" si="25"/>
        <v>0.18091683967264027</v>
      </c>
      <c r="L343" s="7"/>
    </row>
    <row r="344" spans="1:12" x14ac:dyDescent="0.25">
      <c r="A344" t="s">
        <v>11</v>
      </c>
      <c r="B344">
        <v>1996</v>
      </c>
      <c r="C344">
        <v>111126061752.05695</v>
      </c>
      <c r="D344">
        <v>21798481044.230072</v>
      </c>
      <c r="E344">
        <v>3637510</v>
      </c>
      <c r="F344" s="4">
        <v>1954</v>
      </c>
      <c r="G344">
        <f t="shared" si="23"/>
        <v>7107694540</v>
      </c>
      <c r="H344">
        <f t="shared" si="24"/>
        <v>15.634614167318585</v>
      </c>
      <c r="I344">
        <f t="shared" si="26"/>
        <v>119466771810.5751</v>
      </c>
      <c r="J344" s="6">
        <v>0.12</v>
      </c>
      <c r="K344" s="5">
        <f t="shared" si="25"/>
        <v>0.19615993494727246</v>
      </c>
      <c r="L344" s="7"/>
    </row>
    <row r="345" spans="1:12" x14ac:dyDescent="0.25">
      <c r="A345" t="s">
        <v>11</v>
      </c>
      <c r="B345">
        <v>1997</v>
      </c>
      <c r="C345">
        <v>123374112131.26476</v>
      </c>
      <c r="D345">
        <v>25243805933.459366</v>
      </c>
      <c r="E345">
        <v>3674171</v>
      </c>
      <c r="F345" s="4">
        <v>1954</v>
      </c>
      <c r="G345">
        <f t="shared" si="23"/>
        <v>7179330134</v>
      </c>
      <c r="H345">
        <f t="shared" si="24"/>
        <v>17.184627232419281</v>
      </c>
      <c r="I345">
        <f t="shared" si="26"/>
        <v>130374565126.76546</v>
      </c>
      <c r="J345" s="6">
        <v>0.12</v>
      </c>
      <c r="K345" s="5">
        <f t="shared" si="25"/>
        <v>0.20461185492950937</v>
      </c>
      <c r="L345" s="7"/>
    </row>
    <row r="346" spans="1:12" x14ac:dyDescent="0.25">
      <c r="A346" t="s">
        <v>11</v>
      </c>
      <c r="B346">
        <v>1998</v>
      </c>
      <c r="C346">
        <v>134189242145.41084</v>
      </c>
      <c r="D346">
        <v>28636706338.606628</v>
      </c>
      <c r="E346">
        <v>3712696</v>
      </c>
      <c r="F346" s="4">
        <v>1915</v>
      </c>
      <c r="G346">
        <f t="shared" si="23"/>
        <v>7109812840</v>
      </c>
      <c r="H346">
        <f t="shared" si="24"/>
        <v>18.873807956020801</v>
      </c>
      <c r="I346">
        <f t="shared" si="26"/>
        <v>143366323650.16022</v>
      </c>
      <c r="J346" s="6">
        <v>0.12</v>
      </c>
      <c r="K346" s="5">
        <f t="shared" si="25"/>
        <v>0.21340538094384029</v>
      </c>
      <c r="L346" s="7"/>
    </row>
    <row r="347" spans="1:12" x14ac:dyDescent="0.25">
      <c r="A347" t="s">
        <v>11</v>
      </c>
      <c r="B347">
        <v>1999</v>
      </c>
      <c r="C347">
        <v>148319215004.31006</v>
      </c>
      <c r="D347">
        <v>32667301496.666393</v>
      </c>
      <c r="E347">
        <v>3754786</v>
      </c>
      <c r="F347" s="4">
        <v>1890</v>
      </c>
      <c r="G347">
        <f t="shared" si="23"/>
        <v>7096545540</v>
      </c>
      <c r="H347">
        <f t="shared" si="24"/>
        <v>20.900199141723547</v>
      </c>
      <c r="I347">
        <f t="shared" si="26"/>
        <v>158829666308.80737</v>
      </c>
      <c r="J347" s="6">
        <v>0.12</v>
      </c>
      <c r="K347" s="5">
        <f t="shared" si="25"/>
        <v>0.22024996218943785</v>
      </c>
      <c r="L347" s="7"/>
    </row>
    <row r="348" spans="1:12" x14ac:dyDescent="0.25">
      <c r="A348" t="s">
        <v>11</v>
      </c>
      <c r="B348">
        <v>2000</v>
      </c>
      <c r="C348">
        <v>162266448871.09753</v>
      </c>
      <c r="D348">
        <v>34317825077.401943</v>
      </c>
      <c r="E348">
        <v>3805174</v>
      </c>
      <c r="F348" s="4">
        <v>1878</v>
      </c>
      <c r="G348">
        <f t="shared" si="23"/>
        <v>7146116772</v>
      </c>
      <c r="H348">
        <f t="shared" si="24"/>
        <v>22.706940573220393</v>
      </c>
      <c r="I348">
        <f t="shared" si="26"/>
        <v>174087931429.15244</v>
      </c>
      <c r="J348" s="6">
        <v>0.12</v>
      </c>
      <c r="K348" s="5">
        <f t="shared" si="25"/>
        <v>0.21149057809642213</v>
      </c>
      <c r="L348" s="7"/>
    </row>
    <row r="349" spans="1:12" x14ac:dyDescent="0.25">
      <c r="A349" t="s">
        <v>11</v>
      </c>
      <c r="B349">
        <v>2001</v>
      </c>
      <c r="C349">
        <v>170876017042.92136</v>
      </c>
      <c r="D349">
        <v>36315808153.017174</v>
      </c>
      <c r="E349">
        <v>3866243</v>
      </c>
      <c r="F349" s="4">
        <v>1855</v>
      </c>
      <c r="G349">
        <f t="shared" si="23"/>
        <v>7171880765</v>
      </c>
      <c r="H349">
        <f t="shared" si="24"/>
        <v>23.825830718885545</v>
      </c>
      <c r="I349">
        <f t="shared" si="26"/>
        <v>189513187810.67133</v>
      </c>
      <c r="J349" s="6">
        <v>0.12</v>
      </c>
      <c r="K349" s="5">
        <f t="shared" si="25"/>
        <v>0.21252723923156061</v>
      </c>
      <c r="L349" s="7"/>
    </row>
    <row r="350" spans="1:12" x14ac:dyDescent="0.25">
      <c r="A350" t="s">
        <v>11</v>
      </c>
      <c r="B350">
        <v>2002</v>
      </c>
      <c r="C350">
        <v>180956619566.62567</v>
      </c>
      <c r="D350">
        <v>38333378569.203499</v>
      </c>
      <c r="E350">
        <v>3931947</v>
      </c>
      <c r="F350" s="4">
        <v>1840</v>
      </c>
      <c r="G350">
        <f t="shared" si="23"/>
        <v>7234782480</v>
      </c>
      <c r="H350">
        <f t="shared" si="24"/>
        <v>25.01203319752409</v>
      </c>
      <c r="I350">
        <f t="shared" si="26"/>
        <v>205104983842.59427</v>
      </c>
      <c r="J350" s="6">
        <v>0.12</v>
      </c>
      <c r="K350" s="5">
        <f t="shared" si="25"/>
        <v>0.21183739318853539</v>
      </c>
      <c r="L350" s="7"/>
    </row>
    <row r="351" spans="1:12" x14ac:dyDescent="0.25">
      <c r="A351" t="s">
        <v>11</v>
      </c>
      <c r="B351">
        <v>2003</v>
      </c>
      <c r="C351">
        <v>186410360281.18076</v>
      </c>
      <c r="D351">
        <v>41390499321.670685</v>
      </c>
      <c r="E351">
        <v>3996521</v>
      </c>
      <c r="F351" s="4">
        <v>1809</v>
      </c>
      <c r="G351">
        <f t="shared" si="23"/>
        <v>7229706489</v>
      </c>
      <c r="H351">
        <f t="shared" si="24"/>
        <v>25.783945802613726</v>
      </c>
      <c r="I351">
        <f t="shared" si="26"/>
        <v>221882885103.15366</v>
      </c>
      <c r="J351" s="6">
        <v>0.12</v>
      </c>
      <c r="K351" s="5">
        <f t="shared" si="25"/>
        <v>0.22203969381979305</v>
      </c>
      <c r="L351" s="7"/>
    </row>
    <row r="352" spans="1:12" x14ac:dyDescent="0.25">
      <c r="A352" t="s">
        <v>11</v>
      </c>
      <c r="B352">
        <v>2004</v>
      </c>
      <c r="C352">
        <v>199064153976.92566</v>
      </c>
      <c r="D352">
        <v>45429331503.430443</v>
      </c>
      <c r="E352">
        <v>4070262</v>
      </c>
      <c r="F352" s="4">
        <v>1793</v>
      </c>
      <c r="G352">
        <f t="shared" si="23"/>
        <v>7297979766</v>
      </c>
      <c r="H352">
        <f t="shared" si="24"/>
        <v>27.276610837471821</v>
      </c>
      <c r="I352">
        <f t="shared" si="26"/>
        <v>240686270394.20566</v>
      </c>
      <c r="J352" s="6">
        <v>0.12</v>
      </c>
      <c r="K352" s="5">
        <f t="shared" si="25"/>
        <v>0.22821452579903634</v>
      </c>
      <c r="L352" s="7"/>
    </row>
    <row r="353" spans="1:12" x14ac:dyDescent="0.25">
      <c r="A353" t="s">
        <v>11</v>
      </c>
      <c r="B353">
        <v>2005</v>
      </c>
      <c r="C353">
        <v>210490003157.07449</v>
      </c>
      <c r="D353">
        <v>53078499769.564812</v>
      </c>
      <c r="E353">
        <v>4159914</v>
      </c>
      <c r="F353" s="4">
        <v>1794</v>
      </c>
      <c r="G353">
        <f t="shared" si="23"/>
        <v>7462885716</v>
      </c>
      <c r="H353">
        <f t="shared" si="24"/>
        <v>28.204907748459281</v>
      </c>
      <c r="I353">
        <f t="shared" si="26"/>
        <v>264882417716.46579</v>
      </c>
      <c r="J353" s="6">
        <v>0.12</v>
      </c>
      <c r="K353" s="5">
        <f t="shared" si="25"/>
        <v>0.25216636882254168</v>
      </c>
      <c r="L353" s="7"/>
    </row>
    <row r="354" spans="1:12" x14ac:dyDescent="0.25">
      <c r="A354" t="s">
        <v>11</v>
      </c>
      <c r="B354">
        <v>2006</v>
      </c>
      <c r="C354">
        <v>220988938640.08582</v>
      </c>
      <c r="D354">
        <v>56906209400.444885</v>
      </c>
      <c r="E354">
        <v>4273591</v>
      </c>
      <c r="F354" s="4">
        <v>1772</v>
      </c>
      <c r="G354">
        <f t="shared" si="23"/>
        <v>7572803252</v>
      </c>
      <c r="H354">
        <f t="shared" si="24"/>
        <v>29.181919995309791</v>
      </c>
      <c r="I354">
        <f t="shared" si="26"/>
        <v>290002736990.93481</v>
      </c>
      <c r="J354" s="6">
        <v>0.12</v>
      </c>
      <c r="K354" s="5">
        <f t="shared" si="25"/>
        <v>0.25750704877190855</v>
      </c>
      <c r="L354" s="7"/>
    </row>
    <row r="355" spans="1:12" x14ac:dyDescent="0.25">
      <c r="A355" t="s">
        <v>11</v>
      </c>
      <c r="B355">
        <v>2007</v>
      </c>
      <c r="C355">
        <v>232723709494.37134</v>
      </c>
      <c r="D355">
        <v>56923842888.81559</v>
      </c>
      <c r="E355">
        <v>4398942</v>
      </c>
      <c r="F355" s="4">
        <v>1745</v>
      </c>
      <c r="G355">
        <f t="shared" si="23"/>
        <v>7676153790</v>
      </c>
      <c r="H355">
        <f t="shared" si="24"/>
        <v>30.317749730020889</v>
      </c>
      <c r="I355">
        <f t="shared" si="26"/>
        <v>312126251440.83826</v>
      </c>
      <c r="J355" s="6">
        <v>0.12</v>
      </c>
      <c r="K355" s="5">
        <f t="shared" si="25"/>
        <v>0.2445983824015677</v>
      </c>
      <c r="L355" s="7"/>
    </row>
    <row r="356" spans="1:12" x14ac:dyDescent="0.25">
      <c r="A356" t="s">
        <v>11</v>
      </c>
      <c r="B356">
        <v>2008</v>
      </c>
      <c r="C356">
        <v>222288215958.44595</v>
      </c>
      <c r="D356">
        <v>50330897609.169502</v>
      </c>
      <c r="E356">
        <v>4489544</v>
      </c>
      <c r="F356" s="4">
        <v>1711</v>
      </c>
      <c r="G356">
        <f t="shared" si="23"/>
        <v>7681609784</v>
      </c>
      <c r="H356">
        <f t="shared" si="24"/>
        <v>28.937712564031742</v>
      </c>
      <c r="I356">
        <f t="shared" si="26"/>
        <v>325001998877.10718</v>
      </c>
      <c r="J356" s="6">
        <v>0.12</v>
      </c>
      <c r="K356" s="5">
        <f t="shared" si="25"/>
        <v>0.22642179834930271</v>
      </c>
      <c r="L356" s="7"/>
    </row>
    <row r="357" spans="1:12" x14ac:dyDescent="0.25">
      <c r="A357" t="s">
        <v>11</v>
      </c>
      <c r="B357">
        <v>2009</v>
      </c>
      <c r="C357">
        <v>210960893742.01044</v>
      </c>
      <c r="D357">
        <v>41811011364.294899</v>
      </c>
      <c r="E357">
        <v>4535375</v>
      </c>
      <c r="F357" s="4">
        <v>1661</v>
      </c>
      <c r="G357">
        <f t="shared" si="23"/>
        <v>7533257875</v>
      </c>
      <c r="H357">
        <f t="shared" si="24"/>
        <v>28.003938965385601</v>
      </c>
      <c r="I357">
        <f t="shared" si="26"/>
        <v>327812770376.14923</v>
      </c>
      <c r="J357" s="6">
        <v>0.12</v>
      </c>
      <c r="K357" s="5">
        <f t="shared" si="25"/>
        <v>0.19819318463556887</v>
      </c>
      <c r="L357" s="7"/>
    </row>
    <row r="358" spans="1:12" x14ac:dyDescent="0.25">
      <c r="A358" t="s">
        <v>11</v>
      </c>
      <c r="B358">
        <v>2010</v>
      </c>
      <c r="C358">
        <v>214511307254.18817</v>
      </c>
      <c r="D358">
        <v>35526672657.124588</v>
      </c>
      <c r="E358">
        <v>4560155</v>
      </c>
      <c r="F358" s="4">
        <v>1666</v>
      </c>
      <c r="G358">
        <f t="shared" si="23"/>
        <v>7597218230</v>
      </c>
      <c r="H358">
        <f t="shared" si="24"/>
        <v>28.235506834215052</v>
      </c>
      <c r="I358">
        <f t="shared" si="26"/>
        <v>324001910588.13593</v>
      </c>
      <c r="J358" s="6">
        <v>0.12</v>
      </c>
      <c r="K358" s="5">
        <f t="shared" si="25"/>
        <v>0.16561678315179329</v>
      </c>
      <c r="L358" s="7"/>
    </row>
    <row r="359" spans="1:12" x14ac:dyDescent="0.25">
      <c r="A359" t="s">
        <v>11</v>
      </c>
      <c r="B359">
        <v>2011</v>
      </c>
      <c r="C359">
        <v>218048113700.2753</v>
      </c>
      <c r="D359">
        <v>35510721190.296074</v>
      </c>
      <c r="E359">
        <v>4580084</v>
      </c>
      <c r="F359" s="4">
        <v>1668</v>
      </c>
      <c r="G359">
        <f t="shared" si="23"/>
        <v>7639580112</v>
      </c>
      <c r="H359">
        <f t="shared" si="24"/>
        <v>28.541897657146436</v>
      </c>
      <c r="I359">
        <f t="shared" si="26"/>
        <v>320632402507.85571</v>
      </c>
      <c r="J359" s="6">
        <v>0.12</v>
      </c>
      <c r="K359" s="5">
        <f t="shared" si="25"/>
        <v>0.162857273047124</v>
      </c>
      <c r="L359" s="7"/>
    </row>
    <row r="360" spans="1:12" x14ac:dyDescent="0.25">
      <c r="A360" t="s">
        <v>11</v>
      </c>
      <c r="B360">
        <v>2012</v>
      </c>
      <c r="C360">
        <v>217178189023.25186</v>
      </c>
      <c r="D360">
        <v>41299835475.813255</v>
      </c>
      <c r="E360">
        <v>4599533</v>
      </c>
      <c r="F360" s="4">
        <v>1663</v>
      </c>
      <c r="G360">
        <f t="shared" si="23"/>
        <v>7649023379</v>
      </c>
      <c r="H360">
        <f t="shared" si="24"/>
        <v>28.392930477831118</v>
      </c>
      <c r="I360">
        <f t="shared" si="26"/>
        <v>323456349682.72626</v>
      </c>
      <c r="J360" s="6">
        <v>0.12</v>
      </c>
      <c r="K360" s="5">
        <f t="shared" si="25"/>
        <v>0.19016566839219545</v>
      </c>
      <c r="L360" s="7"/>
    </row>
    <row r="361" spans="1:12" x14ac:dyDescent="0.25">
      <c r="A361" t="s">
        <v>11</v>
      </c>
      <c r="B361">
        <v>2013</v>
      </c>
      <c r="C361">
        <v>221939116603.51398</v>
      </c>
      <c r="D361">
        <v>39574737095.64724</v>
      </c>
      <c r="E361">
        <v>4623816</v>
      </c>
      <c r="F361" s="4">
        <v>1677</v>
      </c>
      <c r="G361">
        <f t="shared" si="23"/>
        <v>7754139432</v>
      </c>
      <c r="H361">
        <f t="shared" si="24"/>
        <v>28.622017768678418</v>
      </c>
      <c r="I361">
        <f t="shared" si="26"/>
        <v>324216324816.44635</v>
      </c>
      <c r="J361" s="6">
        <v>0.12</v>
      </c>
      <c r="K361" s="5">
        <f t="shared" si="25"/>
        <v>0.1783134839017407</v>
      </c>
      <c r="L361" s="7"/>
    </row>
    <row r="362" spans="1:12" x14ac:dyDescent="0.25">
      <c r="A362" t="s">
        <v>11</v>
      </c>
      <c r="B362">
        <v>2014</v>
      </c>
      <c r="C362">
        <v>242659427386.7663</v>
      </c>
      <c r="D362">
        <v>47145953205.112083</v>
      </c>
      <c r="E362">
        <v>4657740</v>
      </c>
      <c r="F362" s="4">
        <v>1689</v>
      </c>
      <c r="G362">
        <f t="shared" si="23"/>
        <v>7866922860</v>
      </c>
      <c r="H362">
        <f t="shared" si="24"/>
        <v>30.845532834774268</v>
      </c>
      <c r="I362">
        <f t="shared" si="26"/>
        <v>332456319043.58484</v>
      </c>
      <c r="J362" s="6">
        <v>0.12</v>
      </c>
      <c r="K362" s="5">
        <f t="shared" si="25"/>
        <v>0.19428857025186916</v>
      </c>
      <c r="L362" s="7"/>
    </row>
    <row r="363" spans="1:12" x14ac:dyDescent="0.25">
      <c r="A363" t="s">
        <v>11</v>
      </c>
      <c r="B363">
        <v>2015</v>
      </c>
      <c r="C363">
        <v>302391428540.03467</v>
      </c>
      <c r="D363">
        <v>73355005396.567154</v>
      </c>
      <c r="E363">
        <v>4701957</v>
      </c>
      <c r="F363" s="4">
        <v>1682</v>
      </c>
      <c r="G363">
        <f t="shared" si="23"/>
        <v>7908691674</v>
      </c>
      <c r="H363">
        <f t="shared" si="24"/>
        <v>38.235329053748956</v>
      </c>
      <c r="I363">
        <f t="shared" si="26"/>
        <v>365916566154.92181</v>
      </c>
      <c r="J363" s="6">
        <v>0.12</v>
      </c>
      <c r="K363" s="5">
        <f t="shared" si="25"/>
        <v>0.24258295200604676</v>
      </c>
      <c r="L363" s="7"/>
    </row>
    <row r="364" spans="1:12" x14ac:dyDescent="0.25">
      <c r="A364" t="s">
        <v>11</v>
      </c>
      <c r="B364">
        <v>2016</v>
      </c>
      <c r="C364">
        <v>306088582898.58771</v>
      </c>
      <c r="D364">
        <v>102635119369.96008</v>
      </c>
      <c r="E364">
        <v>4755335</v>
      </c>
      <c r="F364" s="4">
        <v>1704</v>
      </c>
      <c r="G364">
        <f t="shared" si="23"/>
        <v>8103090840</v>
      </c>
      <c r="H364">
        <f t="shared" si="24"/>
        <v>37.774299824903323</v>
      </c>
      <c r="I364">
        <f t="shared" si="26"/>
        <v>424641697586.29126</v>
      </c>
      <c r="J364" s="6">
        <v>0.12</v>
      </c>
      <c r="K364" s="5">
        <f t="shared" si="25"/>
        <v>0.33531181855275149</v>
      </c>
      <c r="L364" s="7"/>
    </row>
    <row r="365" spans="1:12" x14ac:dyDescent="0.25">
      <c r="A365" t="s">
        <v>11</v>
      </c>
      <c r="B365">
        <v>2017</v>
      </c>
      <c r="C365">
        <v>336849348481.59705</v>
      </c>
      <c r="D365">
        <v>106457333583.4929</v>
      </c>
      <c r="E365">
        <v>4807388</v>
      </c>
      <c r="F365" s="4">
        <v>1727</v>
      </c>
      <c r="G365">
        <f t="shared" si="23"/>
        <v>8302359076</v>
      </c>
      <c r="H365">
        <f t="shared" si="24"/>
        <v>40.572727028314461</v>
      </c>
      <c r="I365">
        <f t="shared" si="26"/>
        <v>480142027459.4292</v>
      </c>
      <c r="J365" s="6">
        <v>0.12</v>
      </c>
      <c r="K365" s="5">
        <f t="shared" si="25"/>
        <v>0.31603841320568549</v>
      </c>
      <c r="L365" s="7"/>
    </row>
    <row r="366" spans="1:12" x14ac:dyDescent="0.25">
      <c r="A366" t="s">
        <v>11</v>
      </c>
      <c r="B366">
        <v>2018</v>
      </c>
      <c r="C366">
        <v>362262415044.57281</v>
      </c>
      <c r="D366">
        <v>96784663445.258926</v>
      </c>
      <c r="E366">
        <v>4867316</v>
      </c>
      <c r="F366" s="4">
        <v>1742</v>
      </c>
      <c r="G366">
        <f t="shared" si="23"/>
        <v>8478864472</v>
      </c>
      <c r="H366">
        <f t="shared" si="24"/>
        <v>42.72534562156082</v>
      </c>
      <c r="I366">
        <f t="shared" si="26"/>
        <v>519309647609.55664</v>
      </c>
      <c r="J366" s="6">
        <v>0.12</v>
      </c>
      <c r="K366" s="5">
        <f t="shared" si="25"/>
        <v>0.26716727826526121</v>
      </c>
      <c r="L366" s="7"/>
    </row>
    <row r="367" spans="1:12" x14ac:dyDescent="0.25">
      <c r="A367" t="s">
        <v>11</v>
      </c>
      <c r="B367">
        <v>2019</v>
      </c>
      <c r="C367">
        <v>380522434249.48297</v>
      </c>
      <c r="D367">
        <v>193258581177.18893</v>
      </c>
      <c r="E367">
        <v>4934340</v>
      </c>
      <c r="F367" s="4">
        <v>1742</v>
      </c>
      <c r="G367">
        <f t="shared" si="23"/>
        <v>8595620280</v>
      </c>
      <c r="H367">
        <f t="shared" si="24"/>
        <v>44.269339716514672</v>
      </c>
      <c r="I367">
        <f t="shared" si="26"/>
        <v>650251071073.59875</v>
      </c>
      <c r="J367" s="6">
        <v>0.12</v>
      </c>
      <c r="K367" s="5">
        <f t="shared" si="25"/>
        <v>0.50787697066628734</v>
      </c>
      <c r="L367" s="7"/>
    </row>
    <row r="368" spans="1:12" x14ac:dyDescent="0.25">
      <c r="A368" t="s">
        <v>11</v>
      </c>
      <c r="B368">
        <v>2020</v>
      </c>
      <c r="C368">
        <v>407759845120.69116</v>
      </c>
      <c r="D368">
        <v>161429710834.1456</v>
      </c>
      <c r="E368">
        <v>4985382</v>
      </c>
      <c r="F368" s="4">
        <v>1620</v>
      </c>
      <c r="G368">
        <f t="shared" si="23"/>
        <v>8076318840</v>
      </c>
      <c r="H368">
        <f t="shared" si="24"/>
        <v>50.48832929937808</v>
      </c>
      <c r="I368">
        <f t="shared" si="26"/>
        <v>733650653378.91248</v>
      </c>
      <c r="J368" s="6">
        <v>0.12</v>
      </c>
      <c r="K368" s="5">
        <f t="shared" si="25"/>
        <v>0.39589408512347429</v>
      </c>
      <c r="L368" s="7"/>
    </row>
    <row r="369" spans="1:12" x14ac:dyDescent="0.25">
      <c r="A369" t="s">
        <v>11</v>
      </c>
      <c r="B369">
        <v>2021</v>
      </c>
      <c r="C369">
        <v>474043708510.2915</v>
      </c>
      <c r="D369">
        <v>97871842950.908539</v>
      </c>
      <c r="E369">
        <v>5033164</v>
      </c>
      <c r="F369" s="4">
        <v>1627</v>
      </c>
      <c r="G369">
        <f t="shared" si="23"/>
        <v>8188957828</v>
      </c>
      <c r="H369">
        <f t="shared" si="24"/>
        <v>57.888160919503456</v>
      </c>
      <c r="I369">
        <f t="shared" si="26"/>
        <v>743484417924.35156</v>
      </c>
      <c r="J369" s="6">
        <v>0.12</v>
      </c>
      <c r="K369" s="5">
        <f t="shared" si="25"/>
        <v>0.20646164308028939</v>
      </c>
      <c r="L369" s="7"/>
    </row>
    <row r="370" spans="1:12" x14ac:dyDescent="0.25">
      <c r="A370" t="s">
        <v>11</v>
      </c>
      <c r="B370">
        <v>2022</v>
      </c>
      <c r="C370">
        <v>514903922802.96527</v>
      </c>
      <c r="D370">
        <v>101449955452.40073</v>
      </c>
      <c r="E370">
        <v>5165700</v>
      </c>
      <c r="F370" s="4">
        <v>1657</v>
      </c>
      <c r="G370">
        <f t="shared" si="23"/>
        <v>8559564900</v>
      </c>
      <c r="H370">
        <f t="shared" si="24"/>
        <v>60.155385094745327</v>
      </c>
      <c r="I370">
        <f>I369-(I369*J369)+D370</f>
        <v>755716243225.8302</v>
      </c>
      <c r="J370" s="6">
        <v>0.12</v>
      </c>
      <c r="K370" s="5">
        <f t="shared" si="25"/>
        <v>0.19702696165168251</v>
      </c>
      <c r="L370" s="7"/>
    </row>
    <row r="371" spans="1:12" x14ac:dyDescent="0.25">
      <c r="A371" t="s">
        <v>12</v>
      </c>
      <c r="B371">
        <v>1980</v>
      </c>
      <c r="C371">
        <v>1236010778605.1475</v>
      </c>
      <c r="D371">
        <v>270369122391.10101</v>
      </c>
      <c r="E371">
        <v>56433883</v>
      </c>
      <c r="F371" s="4">
        <v>1856</v>
      </c>
      <c r="G371">
        <f t="shared" si="23"/>
        <v>104741286848</v>
      </c>
      <c r="H371">
        <f t="shared" si="24"/>
        <v>11.800607151207142</v>
      </c>
      <c r="I371">
        <f>D371</f>
        <v>270369122391.10101</v>
      </c>
      <c r="J371" s="6">
        <v>0.12</v>
      </c>
      <c r="K371" s="5">
        <f t="shared" si="25"/>
        <v>0.2187433370898397</v>
      </c>
      <c r="L371" s="7"/>
    </row>
    <row r="372" spans="1:12" x14ac:dyDescent="0.25">
      <c r="A372" t="s">
        <v>12</v>
      </c>
      <c r="B372">
        <v>1981</v>
      </c>
      <c r="C372">
        <v>1246445523219.8718</v>
      </c>
      <c r="D372">
        <v>266147564531.38422</v>
      </c>
      <c r="E372">
        <v>56501675</v>
      </c>
      <c r="F372" s="4">
        <v>1862</v>
      </c>
      <c r="G372">
        <f t="shared" si="23"/>
        <v>105206118850</v>
      </c>
      <c r="H372">
        <f t="shared" si="24"/>
        <v>11.847652368937016</v>
      </c>
      <c r="I372">
        <f>I371-(I371*J371)+D372</f>
        <v>504072392235.5531</v>
      </c>
      <c r="J372" s="6">
        <v>0.12</v>
      </c>
      <c r="K372" s="5">
        <f t="shared" si="25"/>
        <v>0.21352522799701695</v>
      </c>
      <c r="L372" s="7"/>
    </row>
    <row r="373" spans="1:12" x14ac:dyDescent="0.25">
      <c r="A373" t="s">
        <v>12</v>
      </c>
      <c r="B373">
        <v>1982</v>
      </c>
      <c r="C373">
        <v>1251600642977.9668</v>
      </c>
      <c r="D373">
        <v>257175051393.26627</v>
      </c>
      <c r="E373">
        <v>56543548</v>
      </c>
      <c r="F373" s="4">
        <v>1874</v>
      </c>
      <c r="G373">
        <f t="shared" si="23"/>
        <v>105962608952</v>
      </c>
      <c r="H373">
        <f t="shared" si="24"/>
        <v>11.811719769422904</v>
      </c>
      <c r="I373">
        <f t="shared" ref="I373:I413" si="27">I372-(I372*J372)+D373</f>
        <v>700758756560.55298</v>
      </c>
      <c r="J373" s="6">
        <v>0.12</v>
      </c>
      <c r="K373" s="5">
        <f t="shared" si="25"/>
        <v>0.20547692495695977</v>
      </c>
      <c r="L373" s="7"/>
    </row>
    <row r="374" spans="1:12" x14ac:dyDescent="0.25">
      <c r="A374" t="s">
        <v>12</v>
      </c>
      <c r="B374">
        <v>1983</v>
      </c>
      <c r="C374">
        <v>1266234401259.9832</v>
      </c>
      <c r="D374">
        <v>253472981892.60767</v>
      </c>
      <c r="E374">
        <v>56564074</v>
      </c>
      <c r="F374" s="4">
        <v>1873</v>
      </c>
      <c r="G374">
        <f t="shared" si="23"/>
        <v>105944510602</v>
      </c>
      <c r="H374">
        <f t="shared" si="24"/>
        <v>11.951864179323318</v>
      </c>
      <c r="I374">
        <f t="shared" si="27"/>
        <v>870140687665.89429</v>
      </c>
      <c r="J374" s="6">
        <v>0.12</v>
      </c>
      <c r="K374" s="5">
        <f t="shared" si="25"/>
        <v>0.2001785622317527</v>
      </c>
      <c r="L374" s="7"/>
    </row>
    <row r="375" spans="1:12" x14ac:dyDescent="0.25">
      <c r="A375" t="s">
        <v>12</v>
      </c>
      <c r="B375">
        <v>1984</v>
      </c>
      <c r="C375">
        <v>1307081253688.915</v>
      </c>
      <c r="D375">
        <v>263571724952.07367</v>
      </c>
      <c r="E375">
        <v>56576718</v>
      </c>
      <c r="F375" s="4">
        <v>1863</v>
      </c>
      <c r="G375">
        <f t="shared" si="23"/>
        <v>105402425634</v>
      </c>
      <c r="H375">
        <f t="shared" si="24"/>
        <v>12.400865025892589</v>
      </c>
      <c r="I375">
        <f t="shared" si="27"/>
        <v>1029295530098.0605</v>
      </c>
      <c r="J375" s="6">
        <v>0.12</v>
      </c>
      <c r="K375" s="5">
        <f t="shared" si="25"/>
        <v>0.20164907438478469</v>
      </c>
      <c r="L375" s="7"/>
    </row>
    <row r="376" spans="1:12" x14ac:dyDescent="0.25">
      <c r="A376" t="s">
        <v>12</v>
      </c>
      <c r="B376">
        <v>1985</v>
      </c>
      <c r="C376">
        <v>1343654507665.5083</v>
      </c>
      <c r="D376">
        <v>266296207082.85416</v>
      </c>
      <c r="E376">
        <v>56593071</v>
      </c>
      <c r="F376" s="4">
        <v>1859</v>
      </c>
      <c r="G376">
        <f t="shared" si="23"/>
        <v>105206518989</v>
      </c>
      <c r="H376">
        <f t="shared" si="24"/>
        <v>12.771589827109437</v>
      </c>
      <c r="I376">
        <f t="shared" si="27"/>
        <v>1172076273569.1475</v>
      </c>
      <c r="J376" s="6">
        <v>0.12</v>
      </c>
      <c r="K376" s="5">
        <f t="shared" si="25"/>
        <v>0.19818800559492217</v>
      </c>
      <c r="L376" s="7"/>
    </row>
    <row r="377" spans="1:12" x14ac:dyDescent="0.25">
      <c r="A377" t="s">
        <v>12</v>
      </c>
      <c r="B377">
        <v>1986</v>
      </c>
      <c r="C377">
        <v>1382082648621.1873</v>
      </c>
      <c r="D377">
        <v>273711024036.23074</v>
      </c>
      <c r="E377">
        <v>56596155</v>
      </c>
      <c r="F377" s="4">
        <v>1868</v>
      </c>
      <c r="G377">
        <f t="shared" si="23"/>
        <v>105721617540</v>
      </c>
      <c r="H377">
        <f t="shared" si="24"/>
        <v>13.072848115460145</v>
      </c>
      <c r="I377">
        <f t="shared" si="27"/>
        <v>1305138144777.0806</v>
      </c>
      <c r="J377" s="6">
        <v>0.12</v>
      </c>
      <c r="K377" s="5">
        <f t="shared" si="25"/>
        <v>0.19804244290983189</v>
      </c>
      <c r="L377" s="7"/>
    </row>
    <row r="378" spans="1:12" x14ac:dyDescent="0.25">
      <c r="A378" t="s">
        <v>12</v>
      </c>
      <c r="B378">
        <v>1987</v>
      </c>
      <c r="C378">
        <v>1426198182611.0579</v>
      </c>
      <c r="D378">
        <v>286903176686.27759</v>
      </c>
      <c r="E378">
        <v>56601931</v>
      </c>
      <c r="F378" s="4">
        <v>1887</v>
      </c>
      <c r="G378">
        <f t="shared" si="23"/>
        <v>106807843797</v>
      </c>
      <c r="H378">
        <f t="shared" si="24"/>
        <v>13.352934877345747</v>
      </c>
      <c r="I378">
        <f t="shared" si="27"/>
        <v>1435424744090.1084</v>
      </c>
      <c r="J378" s="6">
        <v>0.12</v>
      </c>
      <c r="K378" s="5">
        <f t="shared" si="25"/>
        <v>0.20116641584903749</v>
      </c>
      <c r="L378" s="7"/>
    </row>
    <row r="379" spans="1:12" x14ac:dyDescent="0.25">
      <c r="A379" t="s">
        <v>12</v>
      </c>
      <c r="B379">
        <v>1988</v>
      </c>
      <c r="C379">
        <v>1486018315701.7673</v>
      </c>
      <c r="D379">
        <v>307526935438.76196</v>
      </c>
      <c r="E379">
        <v>56629288</v>
      </c>
      <c r="F379" s="4">
        <v>1890</v>
      </c>
      <c r="G379">
        <f t="shared" si="23"/>
        <v>107029354320</v>
      </c>
      <c r="H379">
        <f t="shared" si="24"/>
        <v>13.88421265495837</v>
      </c>
      <c r="I379">
        <f t="shared" si="27"/>
        <v>1570700710238.0574</v>
      </c>
      <c r="J379" s="6">
        <v>0.12</v>
      </c>
      <c r="K379" s="5">
        <f t="shared" si="25"/>
        <v>0.20694693476475312</v>
      </c>
      <c r="L379" s="7"/>
    </row>
    <row r="380" spans="1:12" x14ac:dyDescent="0.25">
      <c r="A380" t="s">
        <v>12</v>
      </c>
      <c r="B380">
        <v>1989</v>
      </c>
      <c r="C380">
        <v>1536370315136.6035</v>
      </c>
      <c r="D380">
        <v>321011228380.47485</v>
      </c>
      <c r="E380">
        <v>56671781</v>
      </c>
      <c r="F380" s="4">
        <v>1875</v>
      </c>
      <c r="G380">
        <f t="shared" si="23"/>
        <v>106259589375</v>
      </c>
      <c r="H380">
        <f t="shared" si="24"/>
        <v>14.458650971392421</v>
      </c>
      <c r="I380">
        <f t="shared" si="27"/>
        <v>1703227853389.9653</v>
      </c>
      <c r="J380" s="6">
        <v>0.12</v>
      </c>
      <c r="K380" s="5">
        <f t="shared" si="25"/>
        <v>0.20894131136081781</v>
      </c>
      <c r="L380" s="7"/>
    </row>
    <row r="381" spans="1:12" x14ac:dyDescent="0.25">
      <c r="A381" t="s">
        <v>12</v>
      </c>
      <c r="B381">
        <v>1990</v>
      </c>
      <c r="C381">
        <v>1566879171365.3611</v>
      </c>
      <c r="D381">
        <v>334900368152.3092</v>
      </c>
      <c r="E381">
        <v>56719240</v>
      </c>
      <c r="F381" s="4">
        <v>1864</v>
      </c>
      <c r="G381">
        <f t="shared" si="23"/>
        <v>105724663360</v>
      </c>
      <c r="H381">
        <f t="shared" si="24"/>
        <v>14.820375128838444</v>
      </c>
      <c r="I381">
        <f t="shared" si="27"/>
        <v>1833740879135.4785</v>
      </c>
      <c r="J381" s="6">
        <v>0.12</v>
      </c>
      <c r="K381" s="5">
        <f t="shared" si="25"/>
        <v>0.21373720084649586</v>
      </c>
      <c r="L381" s="7"/>
    </row>
    <row r="382" spans="1:12" x14ac:dyDescent="0.25">
      <c r="A382" t="s">
        <v>12</v>
      </c>
      <c r="B382">
        <v>1991</v>
      </c>
      <c r="C382">
        <v>1590984785718.9988</v>
      </c>
      <c r="D382">
        <v>339244358540.48071</v>
      </c>
      <c r="E382">
        <v>56758521</v>
      </c>
      <c r="F382" s="4">
        <v>1857</v>
      </c>
      <c r="G382">
        <f t="shared" si="23"/>
        <v>105400573497</v>
      </c>
      <c r="H382">
        <f t="shared" si="24"/>
        <v>15.094650180098714</v>
      </c>
      <c r="I382">
        <f t="shared" si="27"/>
        <v>1952936332179.7019</v>
      </c>
      <c r="J382" s="6">
        <v>0.12</v>
      </c>
      <c r="K382" s="5">
        <f t="shared" si="25"/>
        <v>0.21322916572528328</v>
      </c>
      <c r="L382" s="7"/>
    </row>
    <row r="383" spans="1:12" x14ac:dyDescent="0.25">
      <c r="A383" t="s">
        <v>12</v>
      </c>
      <c r="B383">
        <v>1992</v>
      </c>
      <c r="C383">
        <v>1604257981628.6287</v>
      </c>
      <c r="D383">
        <v>334367135147.56195</v>
      </c>
      <c r="E383">
        <v>56797087</v>
      </c>
      <c r="F383" s="4">
        <v>1860</v>
      </c>
      <c r="G383">
        <f t="shared" si="23"/>
        <v>105642581820</v>
      </c>
      <c r="H383">
        <f t="shared" si="24"/>
        <v>15.185713506718882</v>
      </c>
      <c r="I383">
        <f t="shared" si="27"/>
        <v>2052951107465.6997</v>
      </c>
      <c r="J383" s="6">
        <v>0.12</v>
      </c>
      <c r="K383" s="5">
        <f t="shared" si="25"/>
        <v>0.2084247913843105</v>
      </c>
      <c r="L383" s="7"/>
    </row>
    <row r="384" spans="1:12" x14ac:dyDescent="0.25">
      <c r="A384" t="s">
        <v>12</v>
      </c>
      <c r="B384">
        <v>1993</v>
      </c>
      <c r="C384">
        <v>1590576776777.1394</v>
      </c>
      <c r="D384">
        <v>296856712246.18304</v>
      </c>
      <c r="E384">
        <v>56831821</v>
      </c>
      <c r="F384" s="4">
        <v>1860</v>
      </c>
      <c r="G384">
        <f t="shared" si="23"/>
        <v>105707187060</v>
      </c>
      <c r="H384">
        <f t="shared" si="24"/>
        <v>15.047006935056544</v>
      </c>
      <c r="I384">
        <f t="shared" si="27"/>
        <v>2103453686815.9988</v>
      </c>
      <c r="J384" s="6">
        <v>0.12</v>
      </c>
      <c r="K384" s="5">
        <f t="shared" si="25"/>
        <v>0.18663463253102466</v>
      </c>
      <c r="L384" s="7"/>
    </row>
    <row r="385" spans="1:12" x14ac:dyDescent="0.25">
      <c r="A385" t="s">
        <v>12</v>
      </c>
      <c r="B385">
        <v>1994</v>
      </c>
      <c r="C385">
        <v>1624790459646.0884</v>
      </c>
      <c r="D385">
        <v>298987468510.39362</v>
      </c>
      <c r="E385">
        <v>56843400</v>
      </c>
      <c r="F385" s="4">
        <v>1854</v>
      </c>
      <c r="G385">
        <f t="shared" si="23"/>
        <v>105387663600</v>
      </c>
      <c r="H385">
        <f t="shared" si="24"/>
        <v>15.417273750493207</v>
      </c>
      <c r="I385">
        <f t="shared" si="27"/>
        <v>2150026712908.4724</v>
      </c>
      <c r="J385" s="6">
        <v>0.12</v>
      </c>
      <c r="K385" s="5">
        <f t="shared" si="25"/>
        <v>0.18401601679487892</v>
      </c>
      <c r="L385" s="7"/>
    </row>
    <row r="386" spans="1:12" x14ac:dyDescent="0.25">
      <c r="A386" t="s">
        <v>12</v>
      </c>
      <c r="B386">
        <v>1995</v>
      </c>
      <c r="C386">
        <v>1671695507645.7979</v>
      </c>
      <c r="D386">
        <v>320022448244.55615</v>
      </c>
      <c r="E386">
        <v>56844303</v>
      </c>
      <c r="F386" s="4">
        <v>1856</v>
      </c>
      <c r="G386">
        <f t="shared" si="23"/>
        <v>105503026368</v>
      </c>
      <c r="H386">
        <f t="shared" si="24"/>
        <v>15.845000519841371</v>
      </c>
      <c r="I386">
        <f t="shared" si="27"/>
        <v>2212045955604.0117</v>
      </c>
      <c r="J386" s="6">
        <v>0.12</v>
      </c>
      <c r="K386" s="5">
        <f t="shared" si="25"/>
        <v>0.19143584868229671</v>
      </c>
      <c r="L386" s="7"/>
    </row>
    <row r="387" spans="1:12" x14ac:dyDescent="0.25">
      <c r="A387" t="s">
        <v>12</v>
      </c>
      <c r="B387">
        <v>1996</v>
      </c>
      <c r="C387">
        <v>1694189587811.1895</v>
      </c>
      <c r="D387">
        <v>327096040055.98541</v>
      </c>
      <c r="E387">
        <v>56860281</v>
      </c>
      <c r="F387" s="4">
        <v>1866</v>
      </c>
      <c r="G387">
        <f t="shared" ref="G387:G450" si="28">E387*F387</f>
        <v>106101284346</v>
      </c>
      <c r="H387">
        <f t="shared" ref="H387:H450" si="29">C387/G387</f>
        <v>15.967663334652745</v>
      </c>
      <c r="I387">
        <f t="shared" si="27"/>
        <v>2273696480987.5156</v>
      </c>
      <c r="J387" s="6">
        <v>0.12</v>
      </c>
      <c r="K387" s="5">
        <f t="shared" ref="K387:K450" si="30">D387/C387</f>
        <v>0.19306932494997658</v>
      </c>
      <c r="L387" s="7"/>
    </row>
    <row r="388" spans="1:12" x14ac:dyDescent="0.25">
      <c r="A388" t="s">
        <v>12</v>
      </c>
      <c r="B388">
        <v>1997</v>
      </c>
      <c r="C388">
        <v>1726814956377.6675</v>
      </c>
      <c r="D388">
        <v>334410211985.54047</v>
      </c>
      <c r="E388">
        <v>56890372</v>
      </c>
      <c r="F388" s="4">
        <v>1860</v>
      </c>
      <c r="G388">
        <f t="shared" si="28"/>
        <v>105816091920</v>
      </c>
      <c r="H388">
        <f t="shared" si="29"/>
        <v>16.319020340339058</v>
      </c>
      <c r="I388">
        <f t="shared" si="27"/>
        <v>2335263115254.5542</v>
      </c>
      <c r="J388" s="6">
        <v>0.12</v>
      </c>
      <c r="K388" s="5">
        <f t="shared" si="30"/>
        <v>0.19365723626058426</v>
      </c>
      <c r="L388" s="7"/>
    </row>
    <row r="389" spans="1:12" x14ac:dyDescent="0.25">
      <c r="A389" t="s">
        <v>12</v>
      </c>
      <c r="B389">
        <v>1998</v>
      </c>
      <c r="C389">
        <v>1757973143930.5344</v>
      </c>
      <c r="D389">
        <v>347676568857.71228</v>
      </c>
      <c r="E389">
        <v>56906744</v>
      </c>
      <c r="F389" s="4">
        <v>1873</v>
      </c>
      <c r="G389">
        <f t="shared" si="28"/>
        <v>106586331512</v>
      </c>
      <c r="H389">
        <f t="shared" si="29"/>
        <v>16.49342011299651</v>
      </c>
      <c r="I389">
        <f t="shared" si="27"/>
        <v>2402708110281.7202</v>
      </c>
      <c r="J389" s="6">
        <v>0.12</v>
      </c>
      <c r="K389" s="5">
        <f t="shared" si="30"/>
        <v>0.19777126292177907</v>
      </c>
      <c r="L389" s="7"/>
    </row>
    <row r="390" spans="1:12" x14ac:dyDescent="0.25">
      <c r="A390" t="s">
        <v>12</v>
      </c>
      <c r="B390">
        <v>1999</v>
      </c>
      <c r="C390">
        <v>1787471785343.8389</v>
      </c>
      <c r="D390">
        <v>363703634566.0564</v>
      </c>
      <c r="E390">
        <v>56916317</v>
      </c>
      <c r="F390" s="4">
        <v>1870</v>
      </c>
      <c r="G390">
        <f t="shared" si="28"/>
        <v>106433512790</v>
      </c>
      <c r="H390">
        <f t="shared" si="29"/>
        <v>16.7942571703955</v>
      </c>
      <c r="I390">
        <f t="shared" si="27"/>
        <v>2478086771613.9702</v>
      </c>
      <c r="J390" s="6">
        <v>0.12</v>
      </c>
      <c r="K390" s="5">
        <f t="shared" si="30"/>
        <v>0.20347377650836274</v>
      </c>
      <c r="L390" s="7"/>
    </row>
    <row r="391" spans="1:12" x14ac:dyDescent="0.25">
      <c r="A391" t="s">
        <v>12</v>
      </c>
      <c r="B391">
        <v>2000</v>
      </c>
      <c r="C391">
        <v>1856863206832.4014</v>
      </c>
      <c r="D391">
        <v>388806199508.53918</v>
      </c>
      <c r="E391">
        <v>56942108</v>
      </c>
      <c r="F391" s="4">
        <v>1850</v>
      </c>
      <c r="G391">
        <f t="shared" si="28"/>
        <v>105342899800</v>
      </c>
      <c r="H391">
        <f t="shared" si="29"/>
        <v>17.626847280241677</v>
      </c>
      <c r="I391">
        <f t="shared" si="27"/>
        <v>2569522558528.833</v>
      </c>
      <c r="J391" s="6">
        <v>0.12</v>
      </c>
      <c r="K391" s="5">
        <f t="shared" si="30"/>
        <v>0.20938871429942252</v>
      </c>
      <c r="L391" s="7"/>
    </row>
    <row r="392" spans="1:12" x14ac:dyDescent="0.25">
      <c r="A392" t="s">
        <v>12</v>
      </c>
      <c r="B392">
        <v>2001</v>
      </c>
      <c r="C392">
        <v>1894119928516.2102</v>
      </c>
      <c r="D392">
        <v>398198677699.42627</v>
      </c>
      <c r="E392">
        <v>56974100</v>
      </c>
      <c r="F392" s="4">
        <v>1838</v>
      </c>
      <c r="G392">
        <f t="shared" si="28"/>
        <v>104718395800</v>
      </c>
      <c r="H392">
        <f t="shared" si="29"/>
        <v>18.087747754785699</v>
      </c>
      <c r="I392">
        <f t="shared" si="27"/>
        <v>2659378529204.7993</v>
      </c>
      <c r="J392" s="6">
        <v>0.12</v>
      </c>
      <c r="K392" s="5">
        <f t="shared" si="30"/>
        <v>0.21022886233574539</v>
      </c>
      <c r="L392" s="7"/>
    </row>
    <row r="393" spans="1:12" x14ac:dyDescent="0.25">
      <c r="A393" t="s">
        <v>12</v>
      </c>
      <c r="B393">
        <v>2002</v>
      </c>
      <c r="C393">
        <v>1899232719248.0149</v>
      </c>
      <c r="D393">
        <v>412598144582.38092</v>
      </c>
      <c r="E393">
        <v>57059007</v>
      </c>
      <c r="F393" s="4">
        <v>1826</v>
      </c>
      <c r="G393">
        <f t="shared" si="28"/>
        <v>104189746782</v>
      </c>
      <c r="H393">
        <f t="shared" si="29"/>
        <v>18.228595211214483</v>
      </c>
      <c r="I393">
        <f t="shared" si="27"/>
        <v>2752851250282.6045</v>
      </c>
      <c r="J393" s="6">
        <v>0.12</v>
      </c>
      <c r="K393" s="5">
        <f t="shared" si="30"/>
        <v>0.217244648536671</v>
      </c>
      <c r="L393" s="7"/>
    </row>
    <row r="394" spans="1:12" x14ac:dyDescent="0.25">
      <c r="A394" t="s">
        <v>12</v>
      </c>
      <c r="B394">
        <v>2003</v>
      </c>
      <c r="C394">
        <v>1900496731808.6594</v>
      </c>
      <c r="D394">
        <v>408940896073.9649</v>
      </c>
      <c r="E394">
        <v>57313203</v>
      </c>
      <c r="F394" s="4">
        <v>1815</v>
      </c>
      <c r="G394">
        <f t="shared" si="28"/>
        <v>104023463445</v>
      </c>
      <c r="H394">
        <f t="shared" si="29"/>
        <v>18.26988516695085</v>
      </c>
      <c r="I394">
        <f t="shared" si="27"/>
        <v>2831449996322.6567</v>
      </c>
      <c r="J394" s="6">
        <v>0.12</v>
      </c>
      <c r="K394" s="5">
        <f t="shared" si="30"/>
        <v>0.21517579547994548</v>
      </c>
      <c r="L394" s="7"/>
    </row>
    <row r="395" spans="1:12" x14ac:dyDescent="0.25">
      <c r="A395" t="s">
        <v>12</v>
      </c>
      <c r="B395">
        <v>2004</v>
      </c>
      <c r="C395">
        <v>1928510465520.8994</v>
      </c>
      <c r="D395">
        <v>415724708637.15942</v>
      </c>
      <c r="E395">
        <v>57685327</v>
      </c>
      <c r="F395" s="4">
        <v>1815</v>
      </c>
      <c r="G395">
        <f t="shared" si="28"/>
        <v>104698868505</v>
      </c>
      <c r="H395">
        <f t="shared" si="29"/>
        <v>18.419592236842572</v>
      </c>
      <c r="I395">
        <f t="shared" si="27"/>
        <v>2907400705401.0977</v>
      </c>
      <c r="J395" s="6">
        <v>0.12</v>
      </c>
      <c r="K395" s="5">
        <f t="shared" si="30"/>
        <v>0.21556777423288201</v>
      </c>
      <c r="L395" s="7"/>
    </row>
    <row r="396" spans="1:12" x14ac:dyDescent="0.25">
      <c r="A396" t="s">
        <v>12</v>
      </c>
      <c r="B396">
        <v>2005</v>
      </c>
      <c r="C396">
        <v>1943213636038.8662</v>
      </c>
      <c r="D396">
        <v>422689930996.02271</v>
      </c>
      <c r="E396">
        <v>57969484</v>
      </c>
      <c r="F396" s="4">
        <v>1811</v>
      </c>
      <c r="G396">
        <f t="shared" si="28"/>
        <v>104982735524</v>
      </c>
      <c r="H396">
        <f t="shared" si="29"/>
        <v>18.50983998787715</v>
      </c>
      <c r="I396">
        <f t="shared" si="27"/>
        <v>2981202551748.9883</v>
      </c>
      <c r="J396" s="6">
        <v>0.12</v>
      </c>
      <c r="K396" s="5">
        <f t="shared" si="30"/>
        <v>0.21752108113941235</v>
      </c>
      <c r="L396" s="7"/>
    </row>
    <row r="397" spans="1:12" x14ac:dyDescent="0.25">
      <c r="A397" t="s">
        <v>12</v>
      </c>
      <c r="B397">
        <v>2006</v>
      </c>
      <c r="C397">
        <v>1978181374934.645</v>
      </c>
      <c r="D397">
        <v>433720195559.66101</v>
      </c>
      <c r="E397">
        <v>58143979</v>
      </c>
      <c r="F397" s="4">
        <v>1812</v>
      </c>
      <c r="G397">
        <f t="shared" si="28"/>
        <v>105356889948</v>
      </c>
      <c r="H397">
        <f t="shared" si="29"/>
        <v>18.776003884615399</v>
      </c>
      <c r="I397">
        <f t="shared" si="27"/>
        <v>3057178441098.771</v>
      </c>
      <c r="J397" s="6">
        <v>0.12</v>
      </c>
      <c r="K397" s="5">
        <f t="shared" si="30"/>
        <v>0.21925198622092487</v>
      </c>
      <c r="L397" s="7"/>
    </row>
    <row r="398" spans="1:12" x14ac:dyDescent="0.25">
      <c r="A398" t="s">
        <v>12</v>
      </c>
      <c r="B398">
        <v>2007</v>
      </c>
      <c r="C398">
        <v>2007108163418.5056</v>
      </c>
      <c r="D398">
        <v>440627331590.16144</v>
      </c>
      <c r="E398">
        <v>58438310</v>
      </c>
      <c r="F398" s="4">
        <v>1818</v>
      </c>
      <c r="G398">
        <f t="shared" si="28"/>
        <v>106240847580</v>
      </c>
      <c r="H398">
        <f t="shared" si="29"/>
        <v>18.892057143154293</v>
      </c>
      <c r="I398">
        <f t="shared" si="27"/>
        <v>3130944359757.0801</v>
      </c>
      <c r="J398" s="6">
        <v>0.12</v>
      </c>
      <c r="K398" s="5">
        <f t="shared" si="30"/>
        <v>0.21953342606094789</v>
      </c>
      <c r="L398" s="7"/>
    </row>
    <row r="399" spans="1:12" x14ac:dyDescent="0.25">
      <c r="A399" t="s">
        <v>12</v>
      </c>
      <c r="B399">
        <v>2008</v>
      </c>
      <c r="C399">
        <v>1986572667525.9834</v>
      </c>
      <c r="D399">
        <v>426038110265.08765</v>
      </c>
      <c r="E399">
        <v>58826731</v>
      </c>
      <c r="F399" s="4">
        <v>1807</v>
      </c>
      <c r="G399">
        <f t="shared" si="28"/>
        <v>106299902917</v>
      </c>
      <c r="H399">
        <f t="shared" si="29"/>
        <v>18.688377063496649</v>
      </c>
      <c r="I399">
        <f t="shared" si="27"/>
        <v>3181269146851.3184</v>
      </c>
      <c r="J399" s="6">
        <v>0.12</v>
      </c>
      <c r="K399" s="5">
        <f t="shared" si="30"/>
        <v>0.21445886034245223</v>
      </c>
      <c r="L399" s="7"/>
    </row>
    <row r="400" spans="1:12" x14ac:dyDescent="0.25">
      <c r="A400" t="s">
        <v>12</v>
      </c>
      <c r="B400">
        <v>2009</v>
      </c>
      <c r="C400">
        <v>1881181927545.9675</v>
      </c>
      <c r="D400">
        <v>381796004154.16736</v>
      </c>
      <c r="E400">
        <v>59095365</v>
      </c>
      <c r="F400" s="4">
        <v>1775</v>
      </c>
      <c r="G400">
        <f t="shared" si="28"/>
        <v>104894272875</v>
      </c>
      <c r="H400">
        <f t="shared" si="29"/>
        <v>17.934076627688977</v>
      </c>
      <c r="I400">
        <f t="shared" si="27"/>
        <v>3181312853383.3276</v>
      </c>
      <c r="J400" s="6">
        <v>0.12</v>
      </c>
      <c r="K400" s="5">
        <f t="shared" si="30"/>
        <v>0.20295538595367354</v>
      </c>
      <c r="L400" s="7"/>
    </row>
    <row r="401" spans="1:12" x14ac:dyDescent="0.25">
      <c r="A401" t="s">
        <v>12</v>
      </c>
      <c r="B401">
        <v>2010</v>
      </c>
      <c r="C401">
        <v>1909947188705.1592</v>
      </c>
      <c r="D401">
        <v>381636809025.59467</v>
      </c>
      <c r="E401">
        <v>59277417</v>
      </c>
      <c r="F401" s="4">
        <v>1777</v>
      </c>
      <c r="G401">
        <f t="shared" si="28"/>
        <v>105335970009</v>
      </c>
      <c r="H401">
        <f t="shared" si="29"/>
        <v>18.131956145103821</v>
      </c>
      <c r="I401">
        <f t="shared" si="27"/>
        <v>3181192120002.9229</v>
      </c>
      <c r="J401" s="6">
        <v>0.12</v>
      </c>
      <c r="K401" s="5">
        <f t="shared" si="30"/>
        <v>0.19981537253096709</v>
      </c>
      <c r="L401" s="7"/>
    </row>
    <row r="402" spans="1:12" x14ac:dyDescent="0.25">
      <c r="A402" t="s">
        <v>12</v>
      </c>
      <c r="B402">
        <v>2011</v>
      </c>
      <c r="C402">
        <v>1923230167189.9456</v>
      </c>
      <c r="D402">
        <v>375795701856.50989</v>
      </c>
      <c r="E402">
        <v>59379449</v>
      </c>
      <c r="F402" s="4">
        <v>1773</v>
      </c>
      <c r="G402">
        <f t="shared" si="28"/>
        <v>105279763077</v>
      </c>
      <c r="H402">
        <f t="shared" si="29"/>
        <v>18.267804856127238</v>
      </c>
      <c r="I402">
        <f t="shared" si="27"/>
        <v>3175244767459.082</v>
      </c>
      <c r="J402" s="6">
        <v>0.12</v>
      </c>
      <c r="K402" s="5">
        <f t="shared" si="30"/>
        <v>0.19539819428144134</v>
      </c>
      <c r="L402" s="7"/>
    </row>
    <row r="403" spans="1:12" x14ac:dyDescent="0.25">
      <c r="A403" t="s">
        <v>12</v>
      </c>
      <c r="B403">
        <v>2012</v>
      </c>
      <c r="C403">
        <v>1863124631879.355</v>
      </c>
      <c r="D403">
        <v>338813691126.36853</v>
      </c>
      <c r="E403">
        <v>59539717</v>
      </c>
      <c r="F403" s="4">
        <v>1734</v>
      </c>
      <c r="G403">
        <f t="shared" si="28"/>
        <v>103241869278</v>
      </c>
      <c r="H403">
        <f t="shared" si="29"/>
        <v>18.046211725036748</v>
      </c>
      <c r="I403">
        <f t="shared" si="27"/>
        <v>3133029086490.3608</v>
      </c>
      <c r="J403" s="6">
        <v>0.12</v>
      </c>
      <c r="K403" s="5">
        <f t="shared" si="30"/>
        <v>0.18185240285541354</v>
      </c>
      <c r="L403" s="7"/>
    </row>
    <row r="404" spans="1:12" x14ac:dyDescent="0.25">
      <c r="A404" t="s">
        <v>12</v>
      </c>
      <c r="B404">
        <v>2013</v>
      </c>
      <c r="C404">
        <v>1829252559153.3262</v>
      </c>
      <c r="D404">
        <v>316014300751.29944</v>
      </c>
      <c r="E404">
        <v>60233948</v>
      </c>
      <c r="F404" s="4">
        <v>1719</v>
      </c>
      <c r="G404">
        <f t="shared" si="28"/>
        <v>103542156612</v>
      </c>
      <c r="H404">
        <f t="shared" si="29"/>
        <v>17.666741924335437</v>
      </c>
      <c r="I404">
        <f t="shared" si="27"/>
        <v>3073079896862.8169</v>
      </c>
      <c r="J404" s="6">
        <v>0.12</v>
      </c>
      <c r="K404" s="5">
        <f t="shared" si="30"/>
        <v>0.17275597028415113</v>
      </c>
      <c r="L404" s="7"/>
    </row>
    <row r="405" spans="1:12" x14ac:dyDescent="0.25">
      <c r="A405" t="s">
        <v>12</v>
      </c>
      <c r="B405">
        <v>2014</v>
      </c>
      <c r="C405">
        <v>1829227175717.4143</v>
      </c>
      <c r="D405">
        <v>309188007158.54865</v>
      </c>
      <c r="E405">
        <v>60789140</v>
      </c>
      <c r="F405" s="4">
        <v>1716</v>
      </c>
      <c r="G405">
        <f t="shared" si="28"/>
        <v>104314164240</v>
      </c>
      <c r="H405">
        <f t="shared" si="29"/>
        <v>17.53575067244784</v>
      </c>
      <c r="I405">
        <f t="shared" si="27"/>
        <v>3013498316397.8276</v>
      </c>
      <c r="J405" s="6">
        <v>0.12</v>
      </c>
      <c r="K405" s="5">
        <f t="shared" si="30"/>
        <v>0.16902657650342778</v>
      </c>
      <c r="L405" s="7"/>
    </row>
    <row r="406" spans="1:12" x14ac:dyDescent="0.25">
      <c r="A406" t="s">
        <v>12</v>
      </c>
      <c r="B406">
        <v>2015</v>
      </c>
      <c r="C406">
        <v>1845428048839.1006</v>
      </c>
      <c r="D406">
        <v>315216051716.52325</v>
      </c>
      <c r="E406">
        <v>60730582</v>
      </c>
      <c r="F406" s="4">
        <v>1717</v>
      </c>
      <c r="G406">
        <f t="shared" si="28"/>
        <v>104274409294</v>
      </c>
      <c r="H406">
        <f t="shared" si="29"/>
        <v>17.697803913095747</v>
      </c>
      <c r="I406">
        <f t="shared" si="27"/>
        <v>2967094570146.6118</v>
      </c>
      <c r="J406" s="6">
        <v>0.12</v>
      </c>
      <c r="K406" s="5">
        <f t="shared" si="30"/>
        <v>0.17080917997036812</v>
      </c>
      <c r="L406" s="7"/>
    </row>
    <row r="407" spans="1:12" x14ac:dyDescent="0.25">
      <c r="A407" t="s">
        <v>12</v>
      </c>
      <c r="B407">
        <v>2016</v>
      </c>
      <c r="C407">
        <v>1868241619898.4246</v>
      </c>
      <c r="D407">
        <v>327342905564.63654</v>
      </c>
      <c r="E407">
        <v>60627498</v>
      </c>
      <c r="F407" s="4">
        <v>1722</v>
      </c>
      <c r="G407">
        <f t="shared" si="28"/>
        <v>104400551556</v>
      </c>
      <c r="H407">
        <f t="shared" si="29"/>
        <v>17.894940132536636</v>
      </c>
      <c r="I407">
        <f t="shared" si="27"/>
        <v>2938386127293.6553</v>
      </c>
      <c r="J407" s="6">
        <v>0.12</v>
      </c>
      <c r="K407" s="5">
        <f t="shared" si="30"/>
        <v>0.17521443804599215</v>
      </c>
      <c r="L407" s="7"/>
    </row>
    <row r="408" spans="1:12" x14ac:dyDescent="0.25">
      <c r="A408" t="s">
        <v>12</v>
      </c>
      <c r="B408">
        <v>2017</v>
      </c>
      <c r="C408">
        <v>1898202609756.9202</v>
      </c>
      <c r="D408">
        <v>338011541044.26898</v>
      </c>
      <c r="E408">
        <v>60536709</v>
      </c>
      <c r="F408" s="4">
        <v>1719</v>
      </c>
      <c r="G408">
        <f t="shared" si="28"/>
        <v>104062602771</v>
      </c>
      <c r="H408">
        <f t="shared" si="29"/>
        <v>18.240968025123319</v>
      </c>
      <c r="I408">
        <f t="shared" si="27"/>
        <v>2923791333062.6855</v>
      </c>
      <c r="J408" s="6">
        <v>0.12</v>
      </c>
      <c r="K408" s="5">
        <f t="shared" si="30"/>
        <v>0.17806926368495196</v>
      </c>
      <c r="L408" s="7"/>
    </row>
    <row r="409" spans="1:12" x14ac:dyDescent="0.25">
      <c r="A409" t="s">
        <v>12</v>
      </c>
      <c r="B409">
        <v>2018</v>
      </c>
      <c r="C409">
        <v>1913894038939.7473</v>
      </c>
      <c r="D409">
        <v>349099999559.02057</v>
      </c>
      <c r="E409">
        <v>60421760</v>
      </c>
      <c r="F409" s="4">
        <v>1719</v>
      </c>
      <c r="G409">
        <f t="shared" si="28"/>
        <v>103865005440</v>
      </c>
      <c r="H409">
        <f t="shared" si="29"/>
        <v>18.426745666954709</v>
      </c>
      <c r="I409">
        <f t="shared" si="27"/>
        <v>2922036372654.1836</v>
      </c>
      <c r="J409" s="6">
        <v>0.12</v>
      </c>
      <c r="K409" s="5">
        <f t="shared" si="30"/>
        <v>0.18240299225364318</v>
      </c>
      <c r="L409" s="7"/>
    </row>
    <row r="410" spans="1:12" x14ac:dyDescent="0.25">
      <c r="A410" t="s">
        <v>12</v>
      </c>
      <c r="B410">
        <v>2019</v>
      </c>
      <c r="C410">
        <v>1922107755102.4541</v>
      </c>
      <c r="D410">
        <v>354613290049.44128</v>
      </c>
      <c r="E410">
        <v>59729081</v>
      </c>
      <c r="F410" s="4">
        <v>1710</v>
      </c>
      <c r="G410">
        <f t="shared" si="28"/>
        <v>102136728510</v>
      </c>
      <c r="H410">
        <f t="shared" si="29"/>
        <v>18.81896731119858</v>
      </c>
      <c r="I410">
        <f t="shared" si="27"/>
        <v>2926005297985.123</v>
      </c>
      <c r="J410" s="6">
        <v>0.12</v>
      </c>
      <c r="K410" s="5">
        <f t="shared" si="30"/>
        <v>0.18449188871335642</v>
      </c>
      <c r="L410" s="7"/>
    </row>
    <row r="411" spans="1:12" x14ac:dyDescent="0.25">
      <c r="A411" t="s">
        <v>12</v>
      </c>
      <c r="B411">
        <v>2020</v>
      </c>
      <c r="C411">
        <v>1751650987476.4873</v>
      </c>
      <c r="D411">
        <v>329412975911.78149</v>
      </c>
      <c r="E411">
        <v>59438851</v>
      </c>
      <c r="F411" s="4">
        <v>1543</v>
      </c>
      <c r="G411">
        <f t="shared" si="28"/>
        <v>91714147093</v>
      </c>
      <c r="H411">
        <f t="shared" si="29"/>
        <v>19.099027172986496</v>
      </c>
      <c r="I411">
        <f t="shared" si="27"/>
        <v>2904297638138.6895</v>
      </c>
      <c r="J411" s="6">
        <v>0.12</v>
      </c>
      <c r="K411" s="5">
        <f t="shared" si="30"/>
        <v>0.18805856775518373</v>
      </c>
      <c r="L411" s="7"/>
    </row>
    <row r="412" spans="1:12" x14ac:dyDescent="0.25">
      <c r="A412" t="s">
        <v>12</v>
      </c>
      <c r="B412">
        <v>2021</v>
      </c>
      <c r="C412">
        <v>1908092024347.8508</v>
      </c>
      <c r="D412">
        <v>400379501842.33929</v>
      </c>
      <c r="E412">
        <v>59133173</v>
      </c>
      <c r="F412" s="4">
        <v>1686</v>
      </c>
      <c r="G412">
        <f t="shared" si="28"/>
        <v>99698529678</v>
      </c>
      <c r="H412">
        <f t="shared" si="29"/>
        <v>19.138617495267841</v>
      </c>
      <c r="I412">
        <f t="shared" si="27"/>
        <v>2956161423404.3862</v>
      </c>
      <c r="J412" s="6">
        <v>0.12</v>
      </c>
      <c r="K412" s="5">
        <f t="shared" si="30"/>
        <v>0.20983238582488248</v>
      </c>
      <c r="L412" s="7"/>
    </row>
    <row r="413" spans="1:12" x14ac:dyDescent="0.25">
      <c r="A413" t="s">
        <v>12</v>
      </c>
      <c r="B413">
        <v>2022</v>
      </c>
      <c r="C413">
        <v>1997042745688.2224</v>
      </c>
      <c r="D413">
        <v>430552668288.96075</v>
      </c>
      <c r="E413">
        <v>59013667</v>
      </c>
      <c r="F413" s="4">
        <v>1726</v>
      </c>
      <c r="G413">
        <f t="shared" si="28"/>
        <v>101857589242</v>
      </c>
      <c r="H413">
        <f t="shared" si="29"/>
        <v>19.606224342729298</v>
      </c>
      <c r="I413">
        <f t="shared" si="27"/>
        <v>3031974720884.8208</v>
      </c>
      <c r="J413" s="6">
        <v>0.12</v>
      </c>
      <c r="K413" s="5">
        <f t="shared" si="30"/>
        <v>0.21559511894202513</v>
      </c>
      <c r="L413" s="7"/>
    </row>
    <row r="414" spans="1:12" x14ac:dyDescent="0.25">
      <c r="A414" t="s">
        <v>13</v>
      </c>
      <c r="B414">
        <v>1980</v>
      </c>
      <c r="C414">
        <v>15551149030.013662</v>
      </c>
      <c r="D414">
        <v>3013226203.4882793</v>
      </c>
      <c r="E414">
        <v>364150</v>
      </c>
      <c r="F414" s="4">
        <v>1718</v>
      </c>
      <c r="G414">
        <f t="shared" si="28"/>
        <v>625609700</v>
      </c>
      <c r="H414">
        <f t="shared" si="29"/>
        <v>24.857589372437261</v>
      </c>
      <c r="I414">
        <f>D414</f>
        <v>3013226203.4882793</v>
      </c>
      <c r="J414" s="6">
        <v>0.12</v>
      </c>
      <c r="K414" s="5">
        <f t="shared" si="30"/>
        <v>0.19376228712571422</v>
      </c>
      <c r="L414" s="7"/>
    </row>
    <row r="415" spans="1:12" x14ac:dyDescent="0.25">
      <c r="A415" t="s">
        <v>13</v>
      </c>
      <c r="B415">
        <v>1981</v>
      </c>
      <c r="C415">
        <v>15465469116.060928</v>
      </c>
      <c r="D415">
        <v>2789824673.4480448</v>
      </c>
      <c r="E415">
        <v>365225</v>
      </c>
      <c r="F415" s="4">
        <v>1693</v>
      </c>
      <c r="G415">
        <f t="shared" si="28"/>
        <v>618325925</v>
      </c>
      <c r="H415">
        <f t="shared" si="29"/>
        <v>25.011840019583406</v>
      </c>
      <c r="I415">
        <f>I414-(I414*J414)+D415</f>
        <v>5441463732.5177307</v>
      </c>
      <c r="J415" s="6">
        <v>0.12</v>
      </c>
      <c r="K415" s="5">
        <f t="shared" si="30"/>
        <v>0.18039056251780974</v>
      </c>
      <c r="L415" s="7"/>
    </row>
    <row r="416" spans="1:12" x14ac:dyDescent="0.25">
      <c r="A416" t="s">
        <v>13</v>
      </c>
      <c r="B416">
        <v>1982</v>
      </c>
      <c r="C416">
        <v>15640430422.809366</v>
      </c>
      <c r="D416">
        <v>2776665850.5652323</v>
      </c>
      <c r="E416">
        <v>365525</v>
      </c>
      <c r="F416" s="4">
        <v>1675</v>
      </c>
      <c r="G416">
        <f t="shared" si="28"/>
        <v>612254375</v>
      </c>
      <c r="H416">
        <f t="shared" si="29"/>
        <v>25.545640932021705</v>
      </c>
      <c r="I416">
        <f t="shared" ref="I416:I456" si="31">I415-(I415*J415)+D416</f>
        <v>7565153935.1808357</v>
      </c>
      <c r="J416" s="6">
        <v>0.12</v>
      </c>
      <c r="K416" s="5">
        <f t="shared" si="30"/>
        <v>0.17753129392883304</v>
      </c>
      <c r="L416" s="7"/>
    </row>
    <row r="417" spans="1:12" x14ac:dyDescent="0.25">
      <c r="A417" t="s">
        <v>13</v>
      </c>
      <c r="B417">
        <v>1983</v>
      </c>
      <c r="C417">
        <v>16107934774.403116</v>
      </c>
      <c r="D417">
        <v>2450009722.3847637</v>
      </c>
      <c r="E417">
        <v>365622</v>
      </c>
      <c r="F417" s="4">
        <v>1669</v>
      </c>
      <c r="G417">
        <f t="shared" si="28"/>
        <v>610223118</v>
      </c>
      <c r="H417">
        <f t="shared" si="29"/>
        <v>26.396795367564419</v>
      </c>
      <c r="I417">
        <f t="shared" si="31"/>
        <v>9107345185.3438988</v>
      </c>
      <c r="J417" s="6">
        <v>0.12</v>
      </c>
      <c r="K417" s="5">
        <f t="shared" si="30"/>
        <v>0.15209955569711137</v>
      </c>
      <c r="L417" s="7"/>
    </row>
    <row r="418" spans="1:12" x14ac:dyDescent="0.25">
      <c r="A418" t="s">
        <v>13</v>
      </c>
      <c r="B418">
        <v>1984</v>
      </c>
      <c r="C418">
        <v>17104522552.533195</v>
      </c>
      <c r="D418">
        <v>2453008735.7281232</v>
      </c>
      <c r="E418">
        <v>365998</v>
      </c>
      <c r="F418" s="4">
        <v>1655</v>
      </c>
      <c r="G418">
        <f t="shared" si="28"/>
        <v>605726690</v>
      </c>
      <c r="H418">
        <f t="shared" si="29"/>
        <v>28.238020273686793</v>
      </c>
      <c r="I418">
        <f t="shared" si="31"/>
        <v>10467472498.830753</v>
      </c>
      <c r="J418" s="6">
        <v>0.12</v>
      </c>
      <c r="K418" s="5">
        <f t="shared" si="30"/>
        <v>0.14341287388725329</v>
      </c>
      <c r="L418" s="7"/>
    </row>
    <row r="419" spans="1:12" x14ac:dyDescent="0.25">
      <c r="A419" t="s">
        <v>13</v>
      </c>
      <c r="B419">
        <v>1985</v>
      </c>
      <c r="C419">
        <v>17582030272.34882</v>
      </c>
      <c r="D419">
        <v>2219794673.6832013</v>
      </c>
      <c r="E419">
        <v>366706</v>
      </c>
      <c r="F419" s="4">
        <v>1660</v>
      </c>
      <c r="G419">
        <f t="shared" si="28"/>
        <v>608731960</v>
      </c>
      <c r="H419">
        <f t="shared" si="29"/>
        <v>28.883041186713474</v>
      </c>
      <c r="I419">
        <f t="shared" si="31"/>
        <v>11431170472.654264</v>
      </c>
      <c r="J419" s="6">
        <v>0.12</v>
      </c>
      <c r="K419" s="5">
        <f t="shared" si="30"/>
        <v>0.1262536032129499</v>
      </c>
      <c r="L419" s="7"/>
    </row>
    <row r="420" spans="1:12" x14ac:dyDescent="0.25">
      <c r="A420" t="s">
        <v>13</v>
      </c>
      <c r="B420">
        <v>1986</v>
      </c>
      <c r="C420">
        <v>19337409478.325771</v>
      </c>
      <c r="D420">
        <v>3044197146.3171854</v>
      </c>
      <c r="E420">
        <v>368355</v>
      </c>
      <c r="F420" s="4">
        <v>1651</v>
      </c>
      <c r="G420">
        <f t="shared" si="28"/>
        <v>608154105</v>
      </c>
      <c r="H420">
        <f t="shared" si="29"/>
        <v>31.796890490981347</v>
      </c>
      <c r="I420">
        <f t="shared" si="31"/>
        <v>13103627162.252937</v>
      </c>
      <c r="J420" s="6">
        <v>0.12</v>
      </c>
      <c r="K420" s="5">
        <f t="shared" si="30"/>
        <v>0.15742528231246575</v>
      </c>
      <c r="L420" s="7"/>
    </row>
    <row r="421" spans="1:12" x14ac:dyDescent="0.25">
      <c r="A421" t="s">
        <v>13</v>
      </c>
      <c r="B421">
        <v>1987</v>
      </c>
      <c r="C421">
        <v>20101425602.374599</v>
      </c>
      <c r="D421">
        <v>3584427848.8656225</v>
      </c>
      <c r="E421">
        <v>370750</v>
      </c>
      <c r="F421" s="4">
        <v>1650</v>
      </c>
      <c r="G421">
        <f t="shared" si="28"/>
        <v>611737500</v>
      </c>
      <c r="H421">
        <f t="shared" si="29"/>
        <v>32.859560844928744</v>
      </c>
      <c r="I421">
        <f t="shared" si="31"/>
        <v>15115619751.648209</v>
      </c>
      <c r="J421" s="6">
        <v>0.12</v>
      </c>
      <c r="K421" s="5">
        <f t="shared" si="30"/>
        <v>0.17831709649698629</v>
      </c>
      <c r="L421" s="7"/>
    </row>
    <row r="422" spans="1:12" x14ac:dyDescent="0.25">
      <c r="A422" t="s">
        <v>13</v>
      </c>
      <c r="B422">
        <v>1988</v>
      </c>
      <c r="C422">
        <v>21802666126.853504</v>
      </c>
      <c r="D422">
        <v>3995485732.1488256</v>
      </c>
      <c r="E422">
        <v>373450</v>
      </c>
      <c r="F422" s="4">
        <v>1670</v>
      </c>
      <c r="G422">
        <f t="shared" si="28"/>
        <v>623661500</v>
      </c>
      <c r="H422">
        <f t="shared" si="29"/>
        <v>34.95913428495026</v>
      </c>
      <c r="I422">
        <f t="shared" si="31"/>
        <v>17297231113.599251</v>
      </c>
      <c r="J422" s="6">
        <v>0.12</v>
      </c>
      <c r="K422" s="5">
        <f t="shared" si="30"/>
        <v>0.18325674983518367</v>
      </c>
      <c r="L422" s="7"/>
    </row>
    <row r="423" spans="1:12" x14ac:dyDescent="0.25">
      <c r="A423" t="s">
        <v>13</v>
      </c>
      <c r="B423">
        <v>1989</v>
      </c>
      <c r="C423">
        <v>23938905603.76952</v>
      </c>
      <c r="D423">
        <v>4271183042.7757788</v>
      </c>
      <c r="E423">
        <v>377100</v>
      </c>
      <c r="F423" s="4">
        <v>1659</v>
      </c>
      <c r="G423">
        <f t="shared" si="28"/>
        <v>625608900</v>
      </c>
      <c r="H423">
        <f t="shared" si="29"/>
        <v>38.264969701948807</v>
      </c>
      <c r="I423">
        <f t="shared" si="31"/>
        <v>19492746422.743118</v>
      </c>
      <c r="J423" s="6">
        <v>0.12</v>
      </c>
      <c r="K423" s="5">
        <f t="shared" si="30"/>
        <v>0.17842014641234144</v>
      </c>
      <c r="L423" s="7"/>
    </row>
    <row r="424" spans="1:12" x14ac:dyDescent="0.25">
      <c r="A424" t="s">
        <v>13</v>
      </c>
      <c r="B424">
        <v>1990</v>
      </c>
      <c r="C424">
        <v>25212438894.528503</v>
      </c>
      <c r="D424">
        <v>4415332067.0386696</v>
      </c>
      <c r="E424">
        <v>381850</v>
      </c>
      <c r="F424" s="4">
        <v>1659</v>
      </c>
      <c r="G424">
        <f t="shared" si="28"/>
        <v>633489150</v>
      </c>
      <c r="H424">
        <f t="shared" si="29"/>
        <v>39.799322363340401</v>
      </c>
      <c r="I424">
        <f t="shared" si="31"/>
        <v>21568948919.052612</v>
      </c>
      <c r="J424" s="6">
        <v>0.12</v>
      </c>
      <c r="K424" s="5">
        <f t="shared" si="30"/>
        <v>0.17512514697643417</v>
      </c>
      <c r="L424" s="7"/>
    </row>
    <row r="425" spans="1:12" x14ac:dyDescent="0.25">
      <c r="A425" t="s">
        <v>13</v>
      </c>
      <c r="B425">
        <v>1991</v>
      </c>
      <c r="C425">
        <v>27391849518.018738</v>
      </c>
      <c r="D425">
        <v>5111099834.1593723</v>
      </c>
      <c r="E425">
        <v>387000</v>
      </c>
      <c r="F425" s="4">
        <v>1641</v>
      </c>
      <c r="G425">
        <f t="shared" si="28"/>
        <v>635067000</v>
      </c>
      <c r="H425">
        <f t="shared" si="29"/>
        <v>43.132219935878794</v>
      </c>
      <c r="I425">
        <f t="shared" si="31"/>
        <v>24091774882.925674</v>
      </c>
      <c r="J425" s="6">
        <v>0.12</v>
      </c>
      <c r="K425" s="5">
        <f t="shared" si="30"/>
        <v>0.18659199448351307</v>
      </c>
      <c r="L425" s="7"/>
    </row>
    <row r="426" spans="1:12" x14ac:dyDescent="0.25">
      <c r="A426" t="s">
        <v>13</v>
      </c>
      <c r="B426">
        <v>1992</v>
      </c>
      <c r="C426">
        <v>27890285979.490219</v>
      </c>
      <c r="D426">
        <v>4340589731.1617165</v>
      </c>
      <c r="E426">
        <v>392175</v>
      </c>
      <c r="F426" s="4">
        <v>1620</v>
      </c>
      <c r="G426">
        <f t="shared" si="28"/>
        <v>635323500</v>
      </c>
      <c r="H426">
        <f t="shared" si="29"/>
        <v>43.899345734086992</v>
      </c>
      <c r="I426">
        <f t="shared" si="31"/>
        <v>25541351628.136311</v>
      </c>
      <c r="J426" s="6">
        <v>0.12</v>
      </c>
      <c r="K426" s="5">
        <f t="shared" si="30"/>
        <v>0.1556308793087913</v>
      </c>
      <c r="L426" s="7"/>
    </row>
    <row r="427" spans="1:12" x14ac:dyDescent="0.25">
      <c r="A427" t="s">
        <v>13</v>
      </c>
      <c r="B427">
        <v>1993</v>
      </c>
      <c r="C427">
        <v>29061859473.652325</v>
      </c>
      <c r="D427">
        <v>5234398892.1816378</v>
      </c>
      <c r="E427">
        <v>397475</v>
      </c>
      <c r="F427" s="4">
        <v>1627</v>
      </c>
      <c r="G427">
        <f t="shared" si="28"/>
        <v>646691825</v>
      </c>
      <c r="H427">
        <f t="shared" si="29"/>
        <v>44.939271458476107</v>
      </c>
      <c r="I427">
        <f t="shared" si="31"/>
        <v>27710788324.941589</v>
      </c>
      <c r="J427" s="6">
        <v>0.12</v>
      </c>
      <c r="K427" s="5">
        <f t="shared" si="30"/>
        <v>0.18011231858467897</v>
      </c>
      <c r="L427" s="7"/>
    </row>
    <row r="428" spans="1:12" x14ac:dyDescent="0.25">
      <c r="A428" t="s">
        <v>13</v>
      </c>
      <c r="B428">
        <v>1994</v>
      </c>
      <c r="C428">
        <v>30172289931.43787</v>
      </c>
      <c r="D428">
        <v>5236641217.7335901</v>
      </c>
      <c r="E428">
        <v>402925</v>
      </c>
      <c r="F428" s="4">
        <v>1605</v>
      </c>
      <c r="G428">
        <f t="shared" si="28"/>
        <v>646694625</v>
      </c>
      <c r="H428">
        <f t="shared" si="29"/>
        <v>46.656163148778099</v>
      </c>
      <c r="I428">
        <f t="shared" si="31"/>
        <v>29622134943.68219</v>
      </c>
      <c r="J428" s="6">
        <v>0.12</v>
      </c>
      <c r="K428" s="5">
        <f t="shared" si="30"/>
        <v>0.17355796426565878</v>
      </c>
      <c r="L428" s="7"/>
    </row>
    <row r="429" spans="1:12" x14ac:dyDescent="0.25">
      <c r="A429" t="s">
        <v>13</v>
      </c>
      <c r="B429">
        <v>1995</v>
      </c>
      <c r="C429">
        <v>30604417464.514042</v>
      </c>
      <c r="D429">
        <v>5157191218.6617155</v>
      </c>
      <c r="E429">
        <v>408625</v>
      </c>
      <c r="F429" s="4">
        <v>1615</v>
      </c>
      <c r="G429">
        <f t="shared" si="28"/>
        <v>659929375</v>
      </c>
      <c r="H429">
        <f t="shared" si="29"/>
        <v>46.375291999259829</v>
      </c>
      <c r="I429">
        <f t="shared" si="31"/>
        <v>31224669969.102043</v>
      </c>
      <c r="J429" s="6">
        <v>0.12</v>
      </c>
      <c r="K429" s="5">
        <f t="shared" si="30"/>
        <v>0.16851133417721484</v>
      </c>
      <c r="L429" s="7"/>
    </row>
    <row r="430" spans="1:12" x14ac:dyDescent="0.25">
      <c r="A430" t="s">
        <v>13</v>
      </c>
      <c r="B430">
        <v>1996</v>
      </c>
      <c r="C430">
        <v>31032290015.654671</v>
      </c>
      <c r="D430">
        <v>5043607055.5097628</v>
      </c>
      <c r="E430">
        <v>414225</v>
      </c>
      <c r="F430" s="4">
        <v>1593</v>
      </c>
      <c r="G430">
        <f t="shared" si="28"/>
        <v>659860425</v>
      </c>
      <c r="H430">
        <f t="shared" si="29"/>
        <v>47.028566708868276</v>
      </c>
      <c r="I430">
        <f t="shared" si="31"/>
        <v>32521316628.319561</v>
      </c>
      <c r="J430" s="6">
        <v>0.12</v>
      </c>
      <c r="K430" s="5">
        <f t="shared" si="30"/>
        <v>0.16252771074791597</v>
      </c>
      <c r="L430" s="7"/>
    </row>
    <row r="431" spans="1:12" x14ac:dyDescent="0.25">
      <c r="A431" t="s">
        <v>13</v>
      </c>
      <c r="B431">
        <v>1997</v>
      </c>
      <c r="C431">
        <v>32714188401.911308</v>
      </c>
      <c r="D431">
        <v>5550837516.1523399</v>
      </c>
      <c r="E431">
        <v>419450</v>
      </c>
      <c r="F431" s="4">
        <v>1600</v>
      </c>
      <c r="G431">
        <f t="shared" si="28"/>
        <v>671120000</v>
      </c>
      <c r="H431">
        <f t="shared" si="29"/>
        <v>48.745661583489252</v>
      </c>
      <c r="I431">
        <f t="shared" si="31"/>
        <v>34169596149.073555</v>
      </c>
      <c r="J431" s="6">
        <v>0.12</v>
      </c>
      <c r="K431" s="5">
        <f t="shared" si="30"/>
        <v>0.16967676067513371</v>
      </c>
      <c r="L431" s="7"/>
    </row>
    <row r="432" spans="1:12" x14ac:dyDescent="0.25">
      <c r="A432" t="s">
        <v>13</v>
      </c>
      <c r="B432">
        <v>1998</v>
      </c>
      <c r="C432">
        <v>34897700894.558182</v>
      </c>
      <c r="D432">
        <v>5888900546.3613243</v>
      </c>
      <c r="E432">
        <v>424700</v>
      </c>
      <c r="F432" s="4">
        <v>1599</v>
      </c>
      <c r="G432">
        <f t="shared" si="28"/>
        <v>679095300</v>
      </c>
      <c r="H432">
        <f t="shared" si="29"/>
        <v>51.388517774395112</v>
      </c>
      <c r="I432">
        <f t="shared" si="31"/>
        <v>35958145157.546051</v>
      </c>
      <c r="J432" s="6">
        <v>0.12</v>
      </c>
      <c r="K432" s="5">
        <f t="shared" si="30"/>
        <v>0.16874752191138234</v>
      </c>
      <c r="L432" s="7"/>
    </row>
    <row r="433" spans="1:12" x14ac:dyDescent="0.25">
      <c r="A433" t="s">
        <v>13</v>
      </c>
      <c r="B433">
        <v>1999</v>
      </c>
      <c r="C433">
        <v>37750651303.918335</v>
      </c>
      <c r="D433">
        <v>7170745198.18398</v>
      </c>
      <c r="E433">
        <v>430475</v>
      </c>
      <c r="F433" s="4">
        <v>1598</v>
      </c>
      <c r="G433">
        <f t="shared" si="28"/>
        <v>687899050</v>
      </c>
      <c r="H433">
        <f t="shared" si="29"/>
        <v>54.878184966120152</v>
      </c>
      <c r="I433">
        <f t="shared" si="31"/>
        <v>38813912936.824509</v>
      </c>
      <c r="J433" s="6">
        <v>0.12</v>
      </c>
      <c r="K433" s="5">
        <f t="shared" si="30"/>
        <v>0.18995023795628371</v>
      </c>
      <c r="L433" s="7"/>
    </row>
    <row r="434" spans="1:12" x14ac:dyDescent="0.25">
      <c r="A434" t="s">
        <v>13</v>
      </c>
      <c r="B434">
        <v>2000</v>
      </c>
      <c r="C434">
        <v>40369840661.378494</v>
      </c>
      <c r="D434">
        <v>6944126080.7609329</v>
      </c>
      <c r="E434">
        <v>436300</v>
      </c>
      <c r="F434" s="4">
        <v>1605</v>
      </c>
      <c r="G434">
        <f t="shared" si="28"/>
        <v>700261500</v>
      </c>
      <c r="H434">
        <f t="shared" si="29"/>
        <v>57.649664677236281</v>
      </c>
      <c r="I434">
        <f t="shared" si="31"/>
        <v>41100369465.166504</v>
      </c>
      <c r="J434" s="6">
        <v>0.12</v>
      </c>
      <c r="K434" s="5">
        <f t="shared" si="30"/>
        <v>0.17201271956974365</v>
      </c>
      <c r="L434" s="7"/>
    </row>
    <row r="435" spans="1:12" x14ac:dyDescent="0.25">
      <c r="A435" t="s">
        <v>13</v>
      </c>
      <c r="B435">
        <v>2001</v>
      </c>
      <c r="C435">
        <v>41610952875.960526</v>
      </c>
      <c r="D435">
        <v>7410281264.6796827</v>
      </c>
      <c r="E435">
        <v>441525</v>
      </c>
      <c r="F435" s="4">
        <v>1593</v>
      </c>
      <c r="G435">
        <f t="shared" si="28"/>
        <v>703349325</v>
      </c>
      <c r="H435">
        <f t="shared" si="29"/>
        <v>59.161147095663345</v>
      </c>
      <c r="I435">
        <f t="shared" si="31"/>
        <v>43578606394.026207</v>
      </c>
      <c r="J435" s="6">
        <v>0.12</v>
      </c>
      <c r="K435" s="5">
        <f t="shared" si="30"/>
        <v>0.17808487315273064</v>
      </c>
      <c r="L435" s="7"/>
    </row>
    <row r="436" spans="1:12" x14ac:dyDescent="0.25">
      <c r="A436" t="s">
        <v>13</v>
      </c>
      <c r="B436">
        <v>2002</v>
      </c>
      <c r="C436">
        <v>42953079582.156616</v>
      </c>
      <c r="D436">
        <v>7442061042.4058542</v>
      </c>
      <c r="E436">
        <v>446175</v>
      </c>
      <c r="F436" s="4">
        <v>1588</v>
      </c>
      <c r="G436">
        <f t="shared" si="28"/>
        <v>708525900</v>
      </c>
      <c r="H436">
        <f t="shared" si="29"/>
        <v>60.623160821864971</v>
      </c>
      <c r="I436">
        <f t="shared" si="31"/>
        <v>45791234669.148918</v>
      </c>
      <c r="J436" s="6">
        <v>0.12</v>
      </c>
      <c r="K436" s="5">
        <f t="shared" si="30"/>
        <v>0.17326024384750757</v>
      </c>
      <c r="L436" s="7"/>
    </row>
    <row r="437" spans="1:12" x14ac:dyDescent="0.25">
      <c r="A437" t="s">
        <v>13</v>
      </c>
      <c r="B437">
        <v>2003</v>
      </c>
      <c r="C437">
        <v>44078183347.920677</v>
      </c>
      <c r="D437">
        <v>7598267143.2511673</v>
      </c>
      <c r="E437">
        <v>451630</v>
      </c>
      <c r="F437" s="4">
        <v>1586</v>
      </c>
      <c r="G437">
        <f t="shared" si="28"/>
        <v>716285180</v>
      </c>
      <c r="H437">
        <f t="shared" si="29"/>
        <v>61.537198560942834</v>
      </c>
      <c r="I437">
        <f t="shared" si="31"/>
        <v>47894553652.102219</v>
      </c>
      <c r="J437" s="6">
        <v>0.12</v>
      </c>
      <c r="K437" s="5">
        <f t="shared" si="30"/>
        <v>0.17238158576718213</v>
      </c>
      <c r="L437" s="7"/>
    </row>
    <row r="438" spans="1:12" x14ac:dyDescent="0.25">
      <c r="A438" t="s">
        <v>13</v>
      </c>
      <c r="B438">
        <v>2004</v>
      </c>
      <c r="C438">
        <v>45943524157.461693</v>
      </c>
      <c r="D438">
        <v>8081319098.981246</v>
      </c>
      <c r="E438">
        <v>458095</v>
      </c>
      <c r="F438" s="4">
        <v>1586</v>
      </c>
      <c r="G438">
        <f t="shared" si="28"/>
        <v>726538670</v>
      </c>
      <c r="H438">
        <f t="shared" si="29"/>
        <v>63.236171802750285</v>
      </c>
      <c r="I438">
        <f t="shared" si="31"/>
        <v>50228526312.8312</v>
      </c>
      <c r="J438" s="6">
        <v>0.12</v>
      </c>
      <c r="K438" s="5">
        <f t="shared" si="30"/>
        <v>0.1758968047658738</v>
      </c>
      <c r="L438" s="7"/>
    </row>
    <row r="439" spans="1:12" x14ac:dyDescent="0.25">
      <c r="A439" t="s">
        <v>13</v>
      </c>
      <c r="B439">
        <v>2005</v>
      </c>
      <c r="C439">
        <v>47084244317.161301</v>
      </c>
      <c r="D439">
        <v>7703569902.1874962</v>
      </c>
      <c r="E439">
        <v>465158</v>
      </c>
      <c r="F439" s="4">
        <v>1567</v>
      </c>
      <c r="G439">
        <f t="shared" si="28"/>
        <v>728902586</v>
      </c>
      <c r="H439">
        <f t="shared" si="29"/>
        <v>64.596072536311866</v>
      </c>
      <c r="I439">
        <f t="shared" si="31"/>
        <v>51904673057.478958</v>
      </c>
      <c r="J439" s="6">
        <v>0.12</v>
      </c>
      <c r="K439" s="5">
        <f t="shared" si="30"/>
        <v>0.16361247831219186</v>
      </c>
      <c r="L439" s="7"/>
    </row>
    <row r="440" spans="1:12" x14ac:dyDescent="0.25">
      <c r="A440" t="s">
        <v>13</v>
      </c>
      <c r="B440">
        <v>2006</v>
      </c>
      <c r="C440">
        <v>49917169128.358566</v>
      </c>
      <c r="D440">
        <v>8029269630.2562456</v>
      </c>
      <c r="E440">
        <v>472637</v>
      </c>
      <c r="F440" s="4">
        <v>1567</v>
      </c>
      <c r="G440">
        <f t="shared" si="28"/>
        <v>740622179</v>
      </c>
      <c r="H440">
        <f t="shared" si="29"/>
        <v>67.398966090588232</v>
      </c>
      <c r="I440">
        <f t="shared" si="31"/>
        <v>53705381920.83773</v>
      </c>
      <c r="J440" s="6">
        <v>0.12</v>
      </c>
      <c r="K440" s="5">
        <f t="shared" si="30"/>
        <v>0.16085186260481901</v>
      </c>
      <c r="L440" s="7"/>
    </row>
    <row r="441" spans="1:12" x14ac:dyDescent="0.25">
      <c r="A441" t="s">
        <v>13</v>
      </c>
      <c r="B441">
        <v>2007</v>
      </c>
      <c r="C441">
        <v>53959794734.691376</v>
      </c>
      <c r="D441">
        <v>9012785127.5089798</v>
      </c>
      <c r="E441">
        <v>479993</v>
      </c>
      <c r="F441" s="4">
        <v>1581</v>
      </c>
      <c r="G441">
        <f t="shared" si="28"/>
        <v>758868933</v>
      </c>
      <c r="H441">
        <f t="shared" si="29"/>
        <v>71.105552471854025</v>
      </c>
      <c r="I441">
        <f t="shared" si="31"/>
        <v>56273521217.846184</v>
      </c>
      <c r="J441" s="6">
        <v>0.12</v>
      </c>
      <c r="K441" s="5">
        <f t="shared" si="30"/>
        <v>0.16702778748182592</v>
      </c>
      <c r="L441" s="7"/>
    </row>
    <row r="442" spans="1:12" x14ac:dyDescent="0.25">
      <c r="A442" t="s">
        <v>13</v>
      </c>
      <c r="B442">
        <v>2008</v>
      </c>
      <c r="C442">
        <v>53797820276.327705</v>
      </c>
      <c r="D442">
        <v>10002540525.258589</v>
      </c>
      <c r="E442">
        <v>488650</v>
      </c>
      <c r="F442" s="4">
        <v>1581</v>
      </c>
      <c r="G442">
        <f t="shared" si="28"/>
        <v>772555650</v>
      </c>
      <c r="H442">
        <f t="shared" si="29"/>
        <v>69.636174787314943</v>
      </c>
      <c r="I442">
        <f t="shared" si="31"/>
        <v>59523239196.963234</v>
      </c>
      <c r="J442" s="6">
        <v>0.12</v>
      </c>
      <c r="K442" s="5">
        <f t="shared" si="30"/>
        <v>0.18592836055218281</v>
      </c>
      <c r="L442" s="7"/>
    </row>
    <row r="443" spans="1:12" x14ac:dyDescent="0.25">
      <c r="A443" t="s">
        <v>13</v>
      </c>
      <c r="B443">
        <v>2009</v>
      </c>
      <c r="C443">
        <v>52055333610.139816</v>
      </c>
      <c r="D443">
        <v>8620754280.7871056</v>
      </c>
      <c r="E443">
        <v>497783</v>
      </c>
      <c r="F443" s="4">
        <v>1518</v>
      </c>
      <c r="G443">
        <f t="shared" si="28"/>
        <v>755634594</v>
      </c>
      <c r="H443">
        <f t="shared" si="29"/>
        <v>68.889558555784987</v>
      </c>
      <c r="I443">
        <f t="shared" si="31"/>
        <v>61001204774.114746</v>
      </c>
      <c r="J443" s="6">
        <v>0.12</v>
      </c>
      <c r="K443" s="5">
        <f t="shared" si="30"/>
        <v>0.16560751190936324</v>
      </c>
      <c r="L443" s="7"/>
    </row>
    <row r="444" spans="1:12" x14ac:dyDescent="0.25">
      <c r="A444" t="s">
        <v>13</v>
      </c>
      <c r="B444">
        <v>2010</v>
      </c>
      <c r="C444">
        <v>54012829450.863258</v>
      </c>
      <c r="D444">
        <v>8672126946.6488247</v>
      </c>
      <c r="E444">
        <v>506953</v>
      </c>
      <c r="F444" s="4">
        <v>1521</v>
      </c>
      <c r="G444">
        <f t="shared" si="28"/>
        <v>771075513</v>
      </c>
      <c r="H444">
        <f t="shared" si="29"/>
        <v>70.048689836767338</v>
      </c>
      <c r="I444">
        <f t="shared" si="31"/>
        <v>62353187147.869804</v>
      </c>
      <c r="J444" s="6">
        <v>0.12</v>
      </c>
      <c r="K444" s="5">
        <f t="shared" si="30"/>
        <v>0.16055679798330252</v>
      </c>
      <c r="L444" s="7"/>
    </row>
    <row r="445" spans="1:12" x14ac:dyDescent="0.25">
      <c r="A445" t="s">
        <v>13</v>
      </c>
      <c r="B445">
        <v>2011</v>
      </c>
      <c r="C445">
        <v>54576884723.71209</v>
      </c>
      <c r="D445">
        <v>10185432630.149216</v>
      </c>
      <c r="E445">
        <v>518347</v>
      </c>
      <c r="F445" s="4">
        <v>1520</v>
      </c>
      <c r="G445">
        <f t="shared" si="28"/>
        <v>787887440</v>
      </c>
      <c r="H445">
        <f t="shared" si="29"/>
        <v>69.269900690017465</v>
      </c>
      <c r="I445">
        <f t="shared" si="31"/>
        <v>65056237320.274643</v>
      </c>
      <c r="J445" s="6">
        <v>0.12</v>
      </c>
      <c r="K445" s="5">
        <f t="shared" si="30"/>
        <v>0.18662539428022606</v>
      </c>
      <c r="L445" s="7"/>
    </row>
    <row r="446" spans="1:12" x14ac:dyDescent="0.25">
      <c r="A446" t="s">
        <v>13</v>
      </c>
      <c r="B446">
        <v>2012</v>
      </c>
      <c r="C446">
        <v>55477349852.562866</v>
      </c>
      <c r="D446">
        <v>10362416578.897263</v>
      </c>
      <c r="E446">
        <v>530946</v>
      </c>
      <c r="F446" s="4">
        <v>1514</v>
      </c>
      <c r="G446">
        <f t="shared" si="28"/>
        <v>803852244</v>
      </c>
      <c r="H446">
        <f t="shared" si="29"/>
        <v>69.014362112750248</v>
      </c>
      <c r="I446">
        <f t="shared" si="31"/>
        <v>67611905420.738953</v>
      </c>
      <c r="J446" s="6">
        <v>0.12</v>
      </c>
      <c r="K446" s="5">
        <f t="shared" si="30"/>
        <v>0.18678643818489021</v>
      </c>
      <c r="L446" s="7"/>
    </row>
    <row r="447" spans="1:12" x14ac:dyDescent="0.25">
      <c r="A447" t="s">
        <v>13</v>
      </c>
      <c r="B447">
        <v>2013</v>
      </c>
      <c r="C447">
        <v>57236975164.372238</v>
      </c>
      <c r="D447">
        <v>10438928587.834761</v>
      </c>
      <c r="E447">
        <v>543360</v>
      </c>
      <c r="F447" s="4">
        <v>1506</v>
      </c>
      <c r="G447">
        <f t="shared" si="28"/>
        <v>818300160</v>
      </c>
      <c r="H447">
        <f t="shared" si="29"/>
        <v>69.946185962339584</v>
      </c>
      <c r="I447">
        <f t="shared" si="31"/>
        <v>69937405358.085037</v>
      </c>
      <c r="J447" s="6">
        <v>0.12</v>
      </c>
      <c r="K447" s="5">
        <f t="shared" si="30"/>
        <v>0.18238085709205301</v>
      </c>
      <c r="L447" s="7"/>
    </row>
    <row r="448" spans="1:12" x14ac:dyDescent="0.25">
      <c r="A448" t="s">
        <v>13</v>
      </c>
      <c r="B448">
        <v>2014</v>
      </c>
      <c r="C448">
        <v>58738350255.759735</v>
      </c>
      <c r="D448">
        <v>11329247221.300776</v>
      </c>
      <c r="E448">
        <v>556319</v>
      </c>
      <c r="F448" s="4">
        <v>1512</v>
      </c>
      <c r="G448">
        <f t="shared" si="28"/>
        <v>841154328</v>
      </c>
      <c r="H448">
        <f t="shared" si="29"/>
        <v>69.830646173361586</v>
      </c>
      <c r="I448">
        <f t="shared" si="31"/>
        <v>72874163936.415604</v>
      </c>
      <c r="J448" s="6">
        <v>0.12</v>
      </c>
      <c r="K448" s="5">
        <f t="shared" si="30"/>
        <v>0.192876496734599</v>
      </c>
      <c r="L448" s="7"/>
    </row>
    <row r="449" spans="1:12" x14ac:dyDescent="0.25">
      <c r="A449" t="s">
        <v>13</v>
      </c>
      <c r="B449">
        <v>2015</v>
      </c>
      <c r="C449">
        <v>60071584216.137466</v>
      </c>
      <c r="D449">
        <v>10398064118.56015</v>
      </c>
      <c r="E449">
        <v>569604</v>
      </c>
      <c r="F449" s="4">
        <v>1519</v>
      </c>
      <c r="G449">
        <f t="shared" si="28"/>
        <v>865228476</v>
      </c>
      <c r="H449">
        <f t="shared" si="29"/>
        <v>69.428579713247288</v>
      </c>
      <c r="I449">
        <f t="shared" si="31"/>
        <v>74527328382.605881</v>
      </c>
      <c r="J449" s="6">
        <v>0.12</v>
      </c>
      <c r="K449" s="5">
        <f t="shared" si="30"/>
        <v>0.17309455467576704</v>
      </c>
      <c r="L449" s="7"/>
    </row>
    <row r="450" spans="1:12" x14ac:dyDescent="0.25">
      <c r="A450" t="s">
        <v>13</v>
      </c>
      <c r="B450">
        <v>2016</v>
      </c>
      <c r="C450">
        <v>63062062076.829262</v>
      </c>
      <c r="D450">
        <v>10685783001.357023</v>
      </c>
      <c r="E450">
        <v>582014</v>
      </c>
      <c r="F450" s="4">
        <v>1518</v>
      </c>
      <c r="G450">
        <f t="shared" si="28"/>
        <v>883497252</v>
      </c>
      <c r="H450">
        <f t="shared" si="29"/>
        <v>71.377768220641016</v>
      </c>
      <c r="I450">
        <f t="shared" si="31"/>
        <v>76269831978.050201</v>
      </c>
      <c r="J450" s="6">
        <v>0.12</v>
      </c>
      <c r="K450" s="5">
        <f t="shared" si="30"/>
        <v>0.16944867721481113</v>
      </c>
      <c r="L450" s="7"/>
    </row>
    <row r="451" spans="1:12" x14ac:dyDescent="0.25">
      <c r="A451" t="s">
        <v>13</v>
      </c>
      <c r="B451">
        <v>2017</v>
      </c>
      <c r="C451">
        <v>63892707778.498795</v>
      </c>
      <c r="D451">
        <v>11256729458.769522</v>
      </c>
      <c r="E451">
        <v>596336</v>
      </c>
      <c r="F451" s="4">
        <v>1508</v>
      </c>
      <c r="G451">
        <f t="shared" ref="G451:G514" si="32">E451*F451</f>
        <v>899274688</v>
      </c>
      <c r="H451">
        <f t="shared" ref="H451:H514" si="33">C451/G451</f>
        <v>71.049156204537582</v>
      </c>
      <c r="I451">
        <f t="shared" si="31"/>
        <v>78374181599.45369</v>
      </c>
      <c r="J451" s="6">
        <v>0.12</v>
      </c>
      <c r="K451" s="5">
        <f t="shared" ref="K451:K514" si="34">D451/C451</f>
        <v>0.17618175610578274</v>
      </c>
      <c r="L451" s="7"/>
    </row>
    <row r="452" spans="1:12" x14ac:dyDescent="0.25">
      <c r="A452" t="s">
        <v>13</v>
      </c>
      <c r="B452">
        <v>2018</v>
      </c>
      <c r="C452">
        <v>64671765568.805817</v>
      </c>
      <c r="D452">
        <v>10439214842.160538</v>
      </c>
      <c r="E452">
        <v>607950</v>
      </c>
      <c r="F452" s="4">
        <v>1499</v>
      </c>
      <c r="G452">
        <f t="shared" si="32"/>
        <v>911317050</v>
      </c>
      <c r="H452">
        <f t="shared" si="33"/>
        <v>70.96516582105626</v>
      </c>
      <c r="I452">
        <f t="shared" si="31"/>
        <v>79408494649.679779</v>
      </c>
      <c r="J452" s="6">
        <v>0.12</v>
      </c>
      <c r="K452" s="5">
        <f t="shared" si="34"/>
        <v>0.16141842967088954</v>
      </c>
      <c r="L452" s="7"/>
    </row>
    <row r="453" spans="1:12" x14ac:dyDescent="0.25">
      <c r="A453" t="s">
        <v>13</v>
      </c>
      <c r="B453">
        <v>2019</v>
      </c>
      <c r="C453">
        <v>66557495896.737839</v>
      </c>
      <c r="D453">
        <v>11848925307.063271</v>
      </c>
      <c r="E453">
        <v>620001</v>
      </c>
      <c r="F453" s="4">
        <v>1493</v>
      </c>
      <c r="G453">
        <f t="shared" si="32"/>
        <v>925661493</v>
      </c>
      <c r="H453">
        <f t="shared" si="33"/>
        <v>71.902630065154753</v>
      </c>
      <c r="I453">
        <f t="shared" si="31"/>
        <v>81728400598.781464</v>
      </c>
      <c r="J453" s="6">
        <v>0.12</v>
      </c>
      <c r="K453" s="5">
        <f t="shared" si="34"/>
        <v>0.17802540716745952</v>
      </c>
      <c r="L453" s="7"/>
    </row>
    <row r="454" spans="1:12" x14ac:dyDescent="0.25">
      <c r="A454" t="s">
        <v>13</v>
      </c>
      <c r="B454">
        <v>2020</v>
      </c>
      <c r="C454">
        <v>65951935965.676514</v>
      </c>
      <c r="D454">
        <v>11057890325.101944</v>
      </c>
      <c r="E454">
        <v>630419</v>
      </c>
      <c r="F454" s="4">
        <v>1408</v>
      </c>
      <c r="G454">
        <f t="shared" si="32"/>
        <v>887629952</v>
      </c>
      <c r="H454">
        <f t="shared" si="33"/>
        <v>74.301160992904968</v>
      </c>
      <c r="I454">
        <f t="shared" si="31"/>
        <v>82978882852.029633</v>
      </c>
      <c r="J454" s="6">
        <v>0.12</v>
      </c>
      <c r="K454" s="5">
        <f t="shared" si="34"/>
        <v>0.16766589430910447</v>
      </c>
      <c r="L454" s="7"/>
    </row>
    <row r="455" spans="1:12" x14ac:dyDescent="0.25">
      <c r="A455" t="s">
        <v>13</v>
      </c>
      <c r="B455">
        <v>2021</v>
      </c>
      <c r="C455">
        <v>70679635853.890182</v>
      </c>
      <c r="D455">
        <v>12931141961.553116</v>
      </c>
      <c r="E455">
        <v>640064</v>
      </c>
      <c r="F455" s="4">
        <v>1467</v>
      </c>
      <c r="G455">
        <f t="shared" si="32"/>
        <v>938973888</v>
      </c>
      <c r="H455">
        <f t="shared" si="33"/>
        <v>75.273270915378404</v>
      </c>
      <c r="I455">
        <f t="shared" si="31"/>
        <v>85952558871.339188</v>
      </c>
      <c r="J455" s="6">
        <v>0.12</v>
      </c>
      <c r="K455" s="5">
        <f t="shared" si="34"/>
        <v>0.1829542810362596</v>
      </c>
      <c r="L455" s="7"/>
    </row>
    <row r="456" spans="1:12" x14ac:dyDescent="0.25">
      <c r="A456" t="s">
        <v>13</v>
      </c>
      <c r="B456">
        <v>2022</v>
      </c>
      <c r="C456">
        <v>71655146215.637054</v>
      </c>
      <c r="D456">
        <v>11929038794.84374</v>
      </c>
      <c r="E456">
        <v>653103</v>
      </c>
      <c r="F456" s="4">
        <v>1459</v>
      </c>
      <c r="G456">
        <f t="shared" si="32"/>
        <v>952877277</v>
      </c>
      <c r="H456">
        <f t="shared" si="33"/>
        <v>75.198714404475254</v>
      </c>
      <c r="I456">
        <f t="shared" si="31"/>
        <v>87567290601.622223</v>
      </c>
      <c r="J456" s="6">
        <v>0.12</v>
      </c>
      <c r="K456" s="5">
        <f t="shared" si="34"/>
        <v>0.16647846560726867</v>
      </c>
      <c r="L456" s="7"/>
    </row>
    <row r="457" spans="1:12" x14ac:dyDescent="0.25">
      <c r="A457" t="s">
        <v>14</v>
      </c>
      <c r="B457">
        <v>1980</v>
      </c>
      <c r="C457">
        <v>375501994932.64227</v>
      </c>
      <c r="D457">
        <v>70803755951.451492</v>
      </c>
      <c r="E457">
        <v>14149800</v>
      </c>
      <c r="F457" s="4">
        <v>1556</v>
      </c>
      <c r="G457">
        <f t="shared" si="32"/>
        <v>22017088800</v>
      </c>
      <c r="H457">
        <f t="shared" si="33"/>
        <v>17.055024773876656</v>
      </c>
      <c r="I457">
        <f>D457</f>
        <v>70803755951.451492</v>
      </c>
      <c r="J457" s="6">
        <v>0.12</v>
      </c>
      <c r="K457" s="5">
        <f t="shared" si="34"/>
        <v>0.1885576026411053</v>
      </c>
      <c r="L457" s="7"/>
    </row>
    <row r="458" spans="1:12" x14ac:dyDescent="0.25">
      <c r="A458" t="s">
        <v>14</v>
      </c>
      <c r="B458">
        <v>1981</v>
      </c>
      <c r="C458">
        <v>372559517928.13757</v>
      </c>
      <c r="D458">
        <v>64148845486.376892</v>
      </c>
      <c r="E458">
        <v>14247208</v>
      </c>
      <c r="F458" s="4">
        <v>1556</v>
      </c>
      <c r="G458">
        <f t="shared" si="32"/>
        <v>22168655648</v>
      </c>
      <c r="H458">
        <f t="shared" si="33"/>
        <v>16.805688348618872</v>
      </c>
      <c r="I458">
        <f>I457-(I457*J457)+D458</f>
        <v>126456150723.65421</v>
      </c>
      <c r="J458" s="6">
        <v>0.12</v>
      </c>
      <c r="K458" s="5">
        <f t="shared" si="34"/>
        <v>0.17218415420741032</v>
      </c>
      <c r="L458" s="7"/>
    </row>
    <row r="459" spans="1:12" x14ac:dyDescent="0.25">
      <c r="A459" t="s">
        <v>14</v>
      </c>
      <c r="B459">
        <v>1982</v>
      </c>
      <c r="C459">
        <v>367936959919.49109</v>
      </c>
      <c r="D459">
        <v>62378859543.194862</v>
      </c>
      <c r="E459">
        <v>14312690</v>
      </c>
      <c r="F459" s="4">
        <v>1542</v>
      </c>
      <c r="G459">
        <f t="shared" si="32"/>
        <v>22070167980</v>
      </c>
      <c r="H459">
        <f t="shared" si="33"/>
        <v>16.671235137535689</v>
      </c>
      <c r="I459">
        <f t="shared" ref="I459:I499" si="35">I458-(I458*J458)+D459</f>
        <v>173660272180.01056</v>
      </c>
      <c r="J459" s="6">
        <v>0.12</v>
      </c>
      <c r="K459" s="5">
        <f t="shared" si="34"/>
        <v>0.16953681292807357</v>
      </c>
      <c r="L459" s="7"/>
    </row>
    <row r="460" spans="1:12" x14ac:dyDescent="0.25">
      <c r="A460" t="s">
        <v>14</v>
      </c>
      <c r="B460">
        <v>1983</v>
      </c>
      <c r="C460">
        <v>375553101315.41028</v>
      </c>
      <c r="D460">
        <v>63725444272.185486</v>
      </c>
      <c r="E460">
        <v>14367070</v>
      </c>
      <c r="F460" s="4">
        <v>1527</v>
      </c>
      <c r="G460">
        <f t="shared" si="32"/>
        <v>21938515890</v>
      </c>
      <c r="H460">
        <f t="shared" si="33"/>
        <v>17.118436962574787</v>
      </c>
      <c r="I460">
        <f t="shared" si="35"/>
        <v>216546483790.59479</v>
      </c>
      <c r="J460" s="6">
        <v>0.12</v>
      </c>
      <c r="K460" s="5">
        <f t="shared" si="34"/>
        <v>0.16968424451557207</v>
      </c>
      <c r="L460" s="7"/>
    </row>
    <row r="461" spans="1:12" x14ac:dyDescent="0.25">
      <c r="A461" t="s">
        <v>14</v>
      </c>
      <c r="B461">
        <v>1984</v>
      </c>
      <c r="C461">
        <v>387051331788.00482</v>
      </c>
      <c r="D461">
        <v>68322370314.032753</v>
      </c>
      <c r="E461">
        <v>14424211</v>
      </c>
      <c r="F461" s="4">
        <v>1519</v>
      </c>
      <c r="G461">
        <f t="shared" si="32"/>
        <v>21910376509</v>
      </c>
      <c r="H461">
        <f t="shared" si="33"/>
        <v>17.665206785881473</v>
      </c>
      <c r="I461">
        <f t="shared" si="35"/>
        <v>258883276049.75616</v>
      </c>
      <c r="J461" s="6">
        <v>0.12</v>
      </c>
      <c r="K461" s="5">
        <f t="shared" si="34"/>
        <v>0.17652017885693305</v>
      </c>
      <c r="L461" s="7"/>
    </row>
    <row r="462" spans="1:12" x14ac:dyDescent="0.25">
      <c r="A462" t="s">
        <v>14</v>
      </c>
      <c r="B462">
        <v>1985</v>
      </c>
      <c r="C462">
        <v>397037951912.79584</v>
      </c>
      <c r="D462">
        <v>73526567155.818695</v>
      </c>
      <c r="E462">
        <v>14491632</v>
      </c>
      <c r="F462" s="4">
        <v>1502</v>
      </c>
      <c r="G462">
        <f t="shared" si="32"/>
        <v>21766431264</v>
      </c>
      <c r="H462">
        <f t="shared" si="33"/>
        <v>18.240838247538814</v>
      </c>
      <c r="I462">
        <f t="shared" si="35"/>
        <v>301343850079.60413</v>
      </c>
      <c r="J462" s="6">
        <v>0.12</v>
      </c>
      <c r="K462" s="5">
        <f t="shared" si="34"/>
        <v>0.18518775548179292</v>
      </c>
      <c r="L462" s="7"/>
    </row>
    <row r="463" spans="1:12" x14ac:dyDescent="0.25">
      <c r="A463" t="s">
        <v>14</v>
      </c>
      <c r="B463">
        <v>1986</v>
      </c>
      <c r="C463">
        <v>408103303712.08722</v>
      </c>
      <c r="D463">
        <v>78532046910.355011</v>
      </c>
      <c r="E463">
        <v>14572278</v>
      </c>
      <c r="F463" s="4">
        <v>1488</v>
      </c>
      <c r="G463">
        <f t="shared" si="32"/>
        <v>21683549664</v>
      </c>
      <c r="H463">
        <f t="shared" si="33"/>
        <v>18.820871584030293</v>
      </c>
      <c r="I463">
        <f t="shared" si="35"/>
        <v>343714634980.40662</v>
      </c>
      <c r="J463" s="6">
        <v>0.12</v>
      </c>
      <c r="K463" s="5">
        <f t="shared" si="34"/>
        <v>0.19243178429586685</v>
      </c>
      <c r="L463" s="7"/>
    </row>
    <row r="464" spans="1:12" x14ac:dyDescent="0.25">
      <c r="A464" t="s">
        <v>14</v>
      </c>
      <c r="B464">
        <v>1987</v>
      </c>
      <c r="C464">
        <v>415984792882.38959</v>
      </c>
      <c r="D464">
        <v>79678372329.178055</v>
      </c>
      <c r="E464">
        <v>14665037</v>
      </c>
      <c r="F464" s="4">
        <v>1467</v>
      </c>
      <c r="G464">
        <f t="shared" si="32"/>
        <v>21513609279</v>
      </c>
      <c r="H464">
        <f t="shared" si="33"/>
        <v>19.335890481586617</v>
      </c>
      <c r="I464">
        <f t="shared" si="35"/>
        <v>382147251111.93585</v>
      </c>
      <c r="J464" s="6">
        <v>0.12</v>
      </c>
      <c r="K464" s="5">
        <f t="shared" si="34"/>
        <v>0.19154155077900969</v>
      </c>
      <c r="L464" s="7"/>
    </row>
    <row r="465" spans="1:12" x14ac:dyDescent="0.25">
      <c r="A465" t="s">
        <v>14</v>
      </c>
      <c r="B465">
        <v>1988</v>
      </c>
      <c r="C465">
        <v>430299740401.87512</v>
      </c>
      <c r="D465">
        <v>87485204596.096008</v>
      </c>
      <c r="E465">
        <v>14760094</v>
      </c>
      <c r="F465" s="4">
        <v>1464</v>
      </c>
      <c r="G465">
        <f t="shared" si="32"/>
        <v>21608777616</v>
      </c>
      <c r="H465">
        <f t="shared" si="33"/>
        <v>19.913192131852199</v>
      </c>
      <c r="I465">
        <f t="shared" si="35"/>
        <v>423774785574.59955</v>
      </c>
      <c r="J465" s="6">
        <v>0.12</v>
      </c>
      <c r="K465" s="5">
        <f t="shared" si="34"/>
        <v>0.20331224117028254</v>
      </c>
      <c r="L465" s="7"/>
    </row>
    <row r="466" spans="1:12" x14ac:dyDescent="0.25">
      <c r="A466" t="s">
        <v>14</v>
      </c>
      <c r="B466">
        <v>1989</v>
      </c>
      <c r="C466">
        <v>449319496339.61493</v>
      </c>
      <c r="D466">
        <v>90353640476.870621</v>
      </c>
      <c r="E466">
        <v>14848907</v>
      </c>
      <c r="F466" s="4">
        <v>1459</v>
      </c>
      <c r="G466">
        <f t="shared" si="32"/>
        <v>21664555313</v>
      </c>
      <c r="H466">
        <f t="shared" si="33"/>
        <v>20.73984394546963</v>
      </c>
      <c r="I466">
        <f t="shared" si="35"/>
        <v>463275451782.51819</v>
      </c>
      <c r="J466" s="6">
        <v>0.12</v>
      </c>
      <c r="K466" s="5">
        <f t="shared" si="34"/>
        <v>0.2010899620713931</v>
      </c>
      <c r="L466" s="7"/>
    </row>
    <row r="467" spans="1:12" x14ac:dyDescent="0.25">
      <c r="A467" t="s">
        <v>14</v>
      </c>
      <c r="B467">
        <v>1990</v>
      </c>
      <c r="C467">
        <v>468115532317.11493</v>
      </c>
      <c r="D467">
        <v>92957275573.117111</v>
      </c>
      <c r="E467">
        <v>14951510</v>
      </c>
      <c r="F467" s="4">
        <v>1454</v>
      </c>
      <c r="G467">
        <f t="shared" si="32"/>
        <v>21739495540</v>
      </c>
      <c r="H467">
        <f t="shared" si="33"/>
        <v>21.532952844089543</v>
      </c>
      <c r="I467">
        <f t="shared" si="35"/>
        <v>500639673141.73315</v>
      </c>
      <c r="J467" s="6">
        <v>0.12</v>
      </c>
      <c r="K467" s="5">
        <f t="shared" si="34"/>
        <v>0.19857763555289418</v>
      </c>
      <c r="L467" s="7"/>
    </row>
    <row r="468" spans="1:12" x14ac:dyDescent="0.25">
      <c r="A468" t="s">
        <v>14</v>
      </c>
      <c r="B468">
        <v>1991</v>
      </c>
      <c r="C468">
        <v>479533499517.68878</v>
      </c>
      <c r="D468">
        <v>94131546293.116333</v>
      </c>
      <c r="E468">
        <v>15069798</v>
      </c>
      <c r="F468" s="4">
        <v>1444</v>
      </c>
      <c r="G468">
        <f t="shared" si="32"/>
        <v>21760788312</v>
      </c>
      <c r="H468">
        <f t="shared" si="33"/>
        <v>22.036586756062036</v>
      </c>
      <c r="I468">
        <f t="shared" si="35"/>
        <v>534694458657.84149</v>
      </c>
      <c r="J468" s="6">
        <v>0.12</v>
      </c>
      <c r="K468" s="5">
        <f t="shared" si="34"/>
        <v>0.19629816558758281</v>
      </c>
      <c r="L468" s="7"/>
    </row>
    <row r="469" spans="1:12" x14ac:dyDescent="0.25">
      <c r="A469" t="s">
        <v>14</v>
      </c>
      <c r="B469">
        <v>1992</v>
      </c>
      <c r="C469">
        <v>487714681433.90363</v>
      </c>
      <c r="D469">
        <v>95809074308.096786</v>
      </c>
      <c r="E469">
        <v>15184166</v>
      </c>
      <c r="F469" s="4">
        <v>1451</v>
      </c>
      <c r="G469">
        <f t="shared" si="32"/>
        <v>22032224866</v>
      </c>
      <c r="H469">
        <f t="shared" si="33"/>
        <v>22.136424460089007</v>
      </c>
      <c r="I469">
        <f t="shared" si="35"/>
        <v>566340197926.99731</v>
      </c>
      <c r="J469" s="6">
        <v>0.12</v>
      </c>
      <c r="K469" s="5">
        <f t="shared" si="34"/>
        <v>0.19644492559956098</v>
      </c>
      <c r="L469" s="7"/>
    </row>
    <row r="470" spans="1:12" x14ac:dyDescent="0.25">
      <c r="A470" t="s">
        <v>14</v>
      </c>
      <c r="B470">
        <v>1993</v>
      </c>
      <c r="C470">
        <v>493847947756.3736</v>
      </c>
      <c r="D470">
        <v>94241070748.601471</v>
      </c>
      <c r="E470">
        <v>15290368</v>
      </c>
      <c r="F470" s="4">
        <v>1440</v>
      </c>
      <c r="G470">
        <f t="shared" si="32"/>
        <v>22018129920</v>
      </c>
      <c r="H470">
        <f t="shared" si="33"/>
        <v>22.429150411533843</v>
      </c>
      <c r="I470">
        <f t="shared" si="35"/>
        <v>592620444924.35913</v>
      </c>
      <c r="J470" s="6">
        <v>0.12</v>
      </c>
      <c r="K470" s="5">
        <f t="shared" si="34"/>
        <v>0.1908301354227612</v>
      </c>
      <c r="L470" s="7"/>
    </row>
    <row r="471" spans="1:12" x14ac:dyDescent="0.25">
      <c r="A471" t="s">
        <v>14</v>
      </c>
      <c r="B471">
        <v>1994</v>
      </c>
      <c r="C471">
        <v>508471242222.31854</v>
      </c>
      <c r="D471">
        <v>96161217056.887802</v>
      </c>
      <c r="E471">
        <v>15382838</v>
      </c>
      <c r="F471" s="4">
        <v>1447</v>
      </c>
      <c r="G471">
        <f t="shared" si="32"/>
        <v>22258966586</v>
      </c>
      <c r="H471">
        <f t="shared" si="33"/>
        <v>22.843434364204789</v>
      </c>
      <c r="I471">
        <f t="shared" si="35"/>
        <v>617667208590.32385</v>
      </c>
      <c r="J471" s="6">
        <v>0.12</v>
      </c>
      <c r="K471" s="5">
        <f t="shared" si="34"/>
        <v>0.18911830025353391</v>
      </c>
      <c r="L471" s="7"/>
    </row>
    <row r="472" spans="1:12" x14ac:dyDescent="0.25">
      <c r="A472" t="s">
        <v>14</v>
      </c>
      <c r="B472">
        <v>1995</v>
      </c>
      <c r="C472">
        <v>524315389197.46271</v>
      </c>
      <c r="D472">
        <v>101824609108.2296</v>
      </c>
      <c r="E472">
        <v>15459006</v>
      </c>
      <c r="F472" s="4">
        <v>1482</v>
      </c>
      <c r="G472">
        <f t="shared" si="32"/>
        <v>22910246892</v>
      </c>
      <c r="H472">
        <f t="shared" si="33"/>
        <v>22.885628062810085</v>
      </c>
      <c r="I472">
        <f t="shared" si="35"/>
        <v>645371752667.7146</v>
      </c>
      <c r="J472" s="6">
        <v>0.12</v>
      </c>
      <c r="K472" s="5">
        <f t="shared" si="34"/>
        <v>0.19420488356080157</v>
      </c>
      <c r="L472" s="7"/>
    </row>
    <row r="473" spans="1:12" x14ac:dyDescent="0.25">
      <c r="A473" t="s">
        <v>14</v>
      </c>
      <c r="B473">
        <v>1996</v>
      </c>
      <c r="C473">
        <v>542250002695.22015</v>
      </c>
      <c r="D473">
        <v>108639381519.12413</v>
      </c>
      <c r="E473">
        <v>15530498</v>
      </c>
      <c r="F473" s="4">
        <v>1496</v>
      </c>
      <c r="G473">
        <f t="shared" si="32"/>
        <v>23233625008</v>
      </c>
      <c r="H473">
        <f t="shared" si="33"/>
        <v>23.339018448843348</v>
      </c>
      <c r="I473">
        <f t="shared" si="35"/>
        <v>676566523866.71301</v>
      </c>
      <c r="J473" s="6">
        <v>0.12</v>
      </c>
      <c r="K473" s="5">
        <f t="shared" si="34"/>
        <v>0.20034925030730991</v>
      </c>
      <c r="L473" s="7"/>
    </row>
    <row r="474" spans="1:12" x14ac:dyDescent="0.25">
      <c r="A474" t="s">
        <v>14</v>
      </c>
      <c r="B474">
        <v>1997</v>
      </c>
      <c r="C474">
        <v>565287383585.32837</v>
      </c>
      <c r="D474">
        <v>115235144961.51242</v>
      </c>
      <c r="E474">
        <v>15610650</v>
      </c>
      <c r="F474" s="4">
        <v>1482</v>
      </c>
      <c r="G474">
        <f t="shared" si="32"/>
        <v>23134983300</v>
      </c>
      <c r="H474">
        <f t="shared" si="33"/>
        <v>24.434311287587072</v>
      </c>
      <c r="I474">
        <f t="shared" si="35"/>
        <v>710613685964.21997</v>
      </c>
      <c r="J474" s="6">
        <v>0.12</v>
      </c>
      <c r="K474" s="5">
        <f t="shared" si="34"/>
        <v>0.20385232062076977</v>
      </c>
      <c r="L474" s="7"/>
    </row>
    <row r="475" spans="1:12" x14ac:dyDescent="0.25">
      <c r="A475" t="s">
        <v>14</v>
      </c>
      <c r="B475">
        <v>1998</v>
      </c>
      <c r="C475">
        <v>591560722063.17908</v>
      </c>
      <c r="D475">
        <v>122949547038.05109</v>
      </c>
      <c r="E475">
        <v>15707209</v>
      </c>
      <c r="F475" s="4">
        <v>1479</v>
      </c>
      <c r="G475">
        <f t="shared" si="32"/>
        <v>23230962111</v>
      </c>
      <c r="H475">
        <f t="shared" si="33"/>
        <v>25.464322968486591</v>
      </c>
      <c r="I475">
        <f t="shared" si="35"/>
        <v>748289590686.5647</v>
      </c>
      <c r="J475" s="6">
        <v>0.12</v>
      </c>
      <c r="K475" s="5">
        <f t="shared" si="34"/>
        <v>0.20783926730165833</v>
      </c>
      <c r="L475" s="7"/>
    </row>
    <row r="476" spans="1:12" x14ac:dyDescent="0.25">
      <c r="A476" t="s">
        <v>14</v>
      </c>
      <c r="B476">
        <v>1999</v>
      </c>
      <c r="C476">
        <v>621395031068.36194</v>
      </c>
      <c r="D476">
        <v>135205946501.76085</v>
      </c>
      <c r="E476">
        <v>15812088</v>
      </c>
      <c r="F476" s="4">
        <v>1477</v>
      </c>
      <c r="G476">
        <f t="shared" si="32"/>
        <v>23354453976</v>
      </c>
      <c r="H476">
        <f t="shared" si="33"/>
        <v>26.607131629235823</v>
      </c>
      <c r="I476">
        <f t="shared" si="35"/>
        <v>793700786305.93787</v>
      </c>
      <c r="J476" s="6">
        <v>0.12</v>
      </c>
      <c r="K476" s="5">
        <f t="shared" si="34"/>
        <v>0.21758453116257112</v>
      </c>
      <c r="L476" s="7"/>
    </row>
    <row r="477" spans="1:12" x14ac:dyDescent="0.25">
      <c r="A477" t="s">
        <v>14</v>
      </c>
      <c r="B477">
        <v>2000</v>
      </c>
      <c r="C477">
        <v>647616371115.08069</v>
      </c>
      <c r="D477">
        <v>138478045362.40265</v>
      </c>
      <c r="E477">
        <v>15925513</v>
      </c>
      <c r="F477" s="4">
        <v>1464</v>
      </c>
      <c r="G477">
        <f t="shared" si="32"/>
        <v>23314951032</v>
      </c>
      <c r="H477">
        <f t="shared" si="33"/>
        <v>27.77687031065263</v>
      </c>
      <c r="I477">
        <f t="shared" si="35"/>
        <v>836934737311.62793</v>
      </c>
      <c r="J477" s="6">
        <v>0.12</v>
      </c>
      <c r="K477" s="5">
        <f t="shared" si="34"/>
        <v>0.21382727728758305</v>
      </c>
      <c r="L477" s="7"/>
    </row>
    <row r="478" spans="1:12" x14ac:dyDescent="0.25">
      <c r="A478" t="s">
        <v>14</v>
      </c>
      <c r="B478">
        <v>2001</v>
      </c>
      <c r="C478">
        <v>662664227345.70056</v>
      </c>
      <c r="D478">
        <v>140231638252.6257</v>
      </c>
      <c r="E478">
        <v>16046180</v>
      </c>
      <c r="F478" s="4">
        <v>1454</v>
      </c>
      <c r="G478">
        <f t="shared" si="32"/>
        <v>23331145720</v>
      </c>
      <c r="H478">
        <f t="shared" si="33"/>
        <v>28.402558335472115</v>
      </c>
      <c r="I478">
        <f t="shared" si="35"/>
        <v>876734207086.85828</v>
      </c>
      <c r="J478" s="6">
        <v>0.12</v>
      </c>
      <c r="K478" s="5">
        <f t="shared" si="34"/>
        <v>0.21161793932097872</v>
      </c>
      <c r="L478" s="7"/>
    </row>
    <row r="479" spans="1:12" x14ac:dyDescent="0.25">
      <c r="A479" t="s">
        <v>14</v>
      </c>
      <c r="B479">
        <v>2002</v>
      </c>
      <c r="C479">
        <v>664292962312.29004</v>
      </c>
      <c r="D479">
        <v>134574634776.50813</v>
      </c>
      <c r="E479">
        <v>16148929</v>
      </c>
      <c r="F479" s="4">
        <v>1436</v>
      </c>
      <c r="G479">
        <f t="shared" si="32"/>
        <v>23189862044</v>
      </c>
      <c r="H479">
        <f t="shared" si="33"/>
        <v>28.645835022729901</v>
      </c>
      <c r="I479">
        <f t="shared" si="35"/>
        <v>906100737012.94348</v>
      </c>
      <c r="J479" s="6">
        <v>0.12</v>
      </c>
      <c r="K479" s="5">
        <f t="shared" si="34"/>
        <v>0.20258326131903742</v>
      </c>
      <c r="L479" s="7"/>
    </row>
    <row r="480" spans="1:12" x14ac:dyDescent="0.25">
      <c r="A480" t="s">
        <v>14</v>
      </c>
      <c r="B480">
        <v>2003</v>
      </c>
      <c r="C480">
        <v>664942855049.922</v>
      </c>
      <c r="D480">
        <v>132221405644.54681</v>
      </c>
      <c r="E480">
        <v>16225302</v>
      </c>
      <c r="F480" s="4">
        <v>1428</v>
      </c>
      <c r="G480">
        <f t="shared" si="32"/>
        <v>23169731256</v>
      </c>
      <c r="H480">
        <f t="shared" si="33"/>
        <v>28.698772881870582</v>
      </c>
      <c r="I480">
        <f t="shared" si="35"/>
        <v>929590054215.93701</v>
      </c>
      <c r="J480" s="6">
        <v>0.12</v>
      </c>
      <c r="K480" s="5">
        <f t="shared" si="34"/>
        <v>0.19884626872879177</v>
      </c>
      <c r="L480" s="7"/>
    </row>
    <row r="481" spans="1:12" x14ac:dyDescent="0.25">
      <c r="A481" t="s">
        <v>14</v>
      </c>
      <c r="B481">
        <v>2004</v>
      </c>
      <c r="C481">
        <v>678350164439.71887</v>
      </c>
      <c r="D481">
        <v>132315279311.19682</v>
      </c>
      <c r="E481">
        <v>16281779</v>
      </c>
      <c r="F481" s="4">
        <v>1448</v>
      </c>
      <c r="G481">
        <f t="shared" si="32"/>
        <v>23576015992</v>
      </c>
      <c r="H481">
        <f t="shared" si="33"/>
        <v>28.772892106533266</v>
      </c>
      <c r="I481">
        <f t="shared" si="35"/>
        <v>950354527021.22131</v>
      </c>
      <c r="J481" s="6">
        <v>0.12</v>
      </c>
      <c r="K481" s="5">
        <f t="shared" si="34"/>
        <v>0.19505454004051462</v>
      </c>
      <c r="L481" s="7"/>
    </row>
    <row r="482" spans="1:12" x14ac:dyDescent="0.25">
      <c r="A482" t="s">
        <v>14</v>
      </c>
      <c r="B482">
        <v>2005</v>
      </c>
      <c r="C482">
        <v>692147557481.11462</v>
      </c>
      <c r="D482">
        <v>136683190797.29016</v>
      </c>
      <c r="E482">
        <v>16319868</v>
      </c>
      <c r="F482" s="4">
        <v>1434</v>
      </c>
      <c r="G482">
        <f t="shared" si="32"/>
        <v>23402690712</v>
      </c>
      <c r="H482">
        <f t="shared" si="33"/>
        <v>29.575554623136046</v>
      </c>
      <c r="I482">
        <f t="shared" si="35"/>
        <v>972995174575.96497</v>
      </c>
      <c r="J482" s="6">
        <v>0.12</v>
      </c>
      <c r="K482" s="5">
        <f t="shared" si="34"/>
        <v>0.19747695317269048</v>
      </c>
      <c r="L482" s="7"/>
    </row>
    <row r="483" spans="1:12" x14ac:dyDescent="0.25">
      <c r="A483" t="s">
        <v>14</v>
      </c>
      <c r="B483">
        <v>2006</v>
      </c>
      <c r="C483">
        <v>716631413655.26929</v>
      </c>
      <c r="D483">
        <v>146156560244.49408</v>
      </c>
      <c r="E483">
        <v>16346101</v>
      </c>
      <c r="F483" s="4">
        <v>1430</v>
      </c>
      <c r="G483">
        <f t="shared" si="32"/>
        <v>23374924430</v>
      </c>
      <c r="H483">
        <f t="shared" si="33"/>
        <v>30.658127507592088</v>
      </c>
      <c r="I483">
        <f t="shared" si="35"/>
        <v>1002392313871.3433</v>
      </c>
      <c r="J483" s="6">
        <v>0.12</v>
      </c>
      <c r="K483" s="5">
        <f t="shared" si="34"/>
        <v>0.20394941871024608</v>
      </c>
      <c r="L483" s="7"/>
    </row>
    <row r="484" spans="1:12" x14ac:dyDescent="0.25">
      <c r="A484" t="s">
        <v>14</v>
      </c>
      <c r="B484">
        <v>2007</v>
      </c>
      <c r="C484">
        <v>744474740611.17664</v>
      </c>
      <c r="D484">
        <v>167599566672.72256</v>
      </c>
      <c r="E484">
        <v>16381696</v>
      </c>
      <c r="F484" s="4">
        <v>1429</v>
      </c>
      <c r="G484">
        <f t="shared" si="32"/>
        <v>23409443584</v>
      </c>
      <c r="H484">
        <f t="shared" si="33"/>
        <v>31.802325328228385</v>
      </c>
      <c r="I484">
        <f t="shared" si="35"/>
        <v>1049704802879.5046</v>
      </c>
      <c r="J484" s="6">
        <v>0.12</v>
      </c>
      <c r="K484" s="5">
        <f t="shared" si="34"/>
        <v>0.2251245845293981</v>
      </c>
      <c r="L484" s="7"/>
    </row>
    <row r="485" spans="1:12" x14ac:dyDescent="0.25">
      <c r="A485" t="s">
        <v>14</v>
      </c>
      <c r="B485">
        <v>2008</v>
      </c>
      <c r="C485">
        <v>760233900008.41174</v>
      </c>
      <c r="D485">
        <v>162689866727.98233</v>
      </c>
      <c r="E485">
        <v>16445593</v>
      </c>
      <c r="F485" s="4">
        <v>1429</v>
      </c>
      <c r="G485">
        <f t="shared" si="32"/>
        <v>23500752397</v>
      </c>
      <c r="H485">
        <f t="shared" si="33"/>
        <v>32.349342998288847</v>
      </c>
      <c r="I485">
        <f t="shared" si="35"/>
        <v>1086430093261.9464</v>
      </c>
      <c r="J485" s="6">
        <v>0.12</v>
      </c>
      <c r="K485" s="5">
        <f t="shared" si="34"/>
        <v>0.21399975287366457</v>
      </c>
      <c r="L485" s="7"/>
    </row>
    <row r="486" spans="1:12" x14ac:dyDescent="0.25">
      <c r="A486" t="s">
        <v>14</v>
      </c>
      <c r="B486">
        <v>2009</v>
      </c>
      <c r="C486">
        <v>732369119511.25122</v>
      </c>
      <c r="D486">
        <v>148772551985.80344</v>
      </c>
      <c r="E486">
        <v>16530388</v>
      </c>
      <c r="F486" s="4">
        <v>1420</v>
      </c>
      <c r="G486">
        <f t="shared" si="32"/>
        <v>23473150960</v>
      </c>
      <c r="H486">
        <f t="shared" si="33"/>
        <v>31.200290099921517</v>
      </c>
      <c r="I486">
        <f t="shared" si="35"/>
        <v>1104831034056.3162</v>
      </c>
      <c r="J486" s="6">
        <v>0.12</v>
      </c>
      <c r="K486" s="5">
        <f t="shared" si="34"/>
        <v>0.20313875615766985</v>
      </c>
      <c r="L486" s="7"/>
    </row>
    <row r="487" spans="1:12" x14ac:dyDescent="0.25">
      <c r="A487" t="s">
        <v>14</v>
      </c>
      <c r="B487">
        <v>2010</v>
      </c>
      <c r="C487">
        <v>742031413484.93201</v>
      </c>
      <c r="D487">
        <v>137957494089.99524</v>
      </c>
      <c r="E487">
        <v>16615394</v>
      </c>
      <c r="F487" s="4">
        <v>1427</v>
      </c>
      <c r="G487">
        <f t="shared" si="32"/>
        <v>23710167238</v>
      </c>
      <c r="H487">
        <f t="shared" si="33"/>
        <v>31.295916474839839</v>
      </c>
      <c r="I487">
        <f t="shared" si="35"/>
        <v>1110208804059.5535</v>
      </c>
      <c r="J487" s="6">
        <v>0.12</v>
      </c>
      <c r="K487" s="5">
        <f t="shared" si="34"/>
        <v>0.18591867080408539</v>
      </c>
      <c r="L487" s="7"/>
    </row>
    <row r="488" spans="1:12" x14ac:dyDescent="0.25">
      <c r="A488" t="s">
        <v>14</v>
      </c>
      <c r="B488">
        <v>2011</v>
      </c>
      <c r="C488">
        <v>755190191987.22888</v>
      </c>
      <c r="D488">
        <v>145531670379.85226</v>
      </c>
      <c r="E488">
        <v>16693074</v>
      </c>
      <c r="F488" s="4">
        <v>1425</v>
      </c>
      <c r="G488">
        <f t="shared" si="32"/>
        <v>23787630450</v>
      </c>
      <c r="H488">
        <f t="shared" si="33"/>
        <v>31.747180265583321</v>
      </c>
      <c r="I488">
        <f t="shared" si="35"/>
        <v>1122515417952.2593</v>
      </c>
      <c r="J488" s="6">
        <v>0.12</v>
      </c>
      <c r="K488" s="5">
        <f t="shared" si="34"/>
        <v>0.19270863409506961</v>
      </c>
      <c r="L488" s="7"/>
    </row>
    <row r="489" spans="1:12" x14ac:dyDescent="0.25">
      <c r="A489" t="s">
        <v>14</v>
      </c>
      <c r="B489">
        <v>2012</v>
      </c>
      <c r="C489">
        <v>747805360729.23438</v>
      </c>
      <c r="D489">
        <v>136431558821.26085</v>
      </c>
      <c r="E489">
        <v>16754962</v>
      </c>
      <c r="F489" s="4">
        <v>1419</v>
      </c>
      <c r="G489">
        <f t="shared" si="32"/>
        <v>23775291078</v>
      </c>
      <c r="H489">
        <f t="shared" si="33"/>
        <v>31.453047547384244</v>
      </c>
      <c r="I489">
        <f t="shared" si="35"/>
        <v>1124245126619.249</v>
      </c>
      <c r="J489" s="6">
        <v>0.12</v>
      </c>
      <c r="K489" s="5">
        <f t="shared" si="34"/>
        <v>0.18244260603884602</v>
      </c>
      <c r="L489" s="7"/>
    </row>
    <row r="490" spans="1:12" x14ac:dyDescent="0.25">
      <c r="A490" t="s">
        <v>14</v>
      </c>
      <c r="B490">
        <v>2013</v>
      </c>
      <c r="C490">
        <v>747579280835.07617</v>
      </c>
      <c r="D490">
        <v>134296471018.72531</v>
      </c>
      <c r="E490">
        <v>16804432</v>
      </c>
      <c r="F490" s="4">
        <v>1427</v>
      </c>
      <c r="G490">
        <f t="shared" si="32"/>
        <v>23979924464</v>
      </c>
      <c r="H490">
        <f t="shared" si="33"/>
        <v>31.175214165390049</v>
      </c>
      <c r="I490">
        <f t="shared" si="35"/>
        <v>1123632182443.6646</v>
      </c>
      <c r="J490" s="6">
        <v>0.12</v>
      </c>
      <c r="K490" s="5">
        <f t="shared" si="34"/>
        <v>0.17964177775059623</v>
      </c>
      <c r="L490" s="7"/>
    </row>
    <row r="491" spans="1:12" x14ac:dyDescent="0.25">
      <c r="A491" t="s">
        <v>14</v>
      </c>
      <c r="B491">
        <v>2014</v>
      </c>
      <c r="C491">
        <v>759634819632.63171</v>
      </c>
      <c r="D491">
        <v>131050151690.0972</v>
      </c>
      <c r="E491">
        <v>16865008</v>
      </c>
      <c r="F491" s="4">
        <v>1434</v>
      </c>
      <c r="G491">
        <f t="shared" si="32"/>
        <v>24184421472</v>
      </c>
      <c r="H491">
        <f t="shared" si="33"/>
        <v>31.410088536213866</v>
      </c>
      <c r="I491">
        <f t="shared" si="35"/>
        <v>1119846472240.522</v>
      </c>
      <c r="J491" s="6">
        <v>0.12</v>
      </c>
      <c r="K491" s="5">
        <f t="shared" si="34"/>
        <v>0.17251730476688074</v>
      </c>
      <c r="L491" s="7"/>
    </row>
    <row r="492" spans="1:12" x14ac:dyDescent="0.25">
      <c r="A492" t="s">
        <v>14</v>
      </c>
      <c r="B492">
        <v>2015</v>
      </c>
      <c r="C492">
        <v>775743675302.73401</v>
      </c>
      <c r="D492">
        <v>169165211407.81241</v>
      </c>
      <c r="E492">
        <v>16939923</v>
      </c>
      <c r="F492" s="4">
        <v>1437</v>
      </c>
      <c r="G492">
        <f t="shared" si="32"/>
        <v>24342669351</v>
      </c>
      <c r="H492">
        <f t="shared" si="33"/>
        <v>31.867650343402719</v>
      </c>
      <c r="I492">
        <f t="shared" si="35"/>
        <v>1154630106979.4717</v>
      </c>
      <c r="J492" s="6">
        <v>0.12</v>
      </c>
      <c r="K492" s="5">
        <f t="shared" si="34"/>
        <v>0.21806843780169485</v>
      </c>
      <c r="L492" s="7"/>
    </row>
    <row r="493" spans="1:12" x14ac:dyDescent="0.25">
      <c r="A493" t="s">
        <v>14</v>
      </c>
      <c r="B493">
        <v>2016</v>
      </c>
      <c r="C493">
        <v>794549918798.82776</v>
      </c>
      <c r="D493">
        <v>153802895924.21866</v>
      </c>
      <c r="E493">
        <v>17030314</v>
      </c>
      <c r="F493" s="4">
        <v>1446</v>
      </c>
      <c r="G493">
        <f t="shared" si="32"/>
        <v>24625834044</v>
      </c>
      <c r="H493">
        <f t="shared" si="33"/>
        <v>32.264893744478762</v>
      </c>
      <c r="I493">
        <f t="shared" si="35"/>
        <v>1169877390066.1538</v>
      </c>
      <c r="J493" s="6">
        <v>0.12</v>
      </c>
      <c r="K493" s="5">
        <f t="shared" si="34"/>
        <v>0.19357235119567112</v>
      </c>
      <c r="L493" s="7"/>
    </row>
    <row r="494" spans="1:12" x14ac:dyDescent="0.25">
      <c r="A494" t="s">
        <v>14</v>
      </c>
      <c r="B494">
        <v>2017</v>
      </c>
      <c r="C494">
        <v>816650691068.16016</v>
      </c>
      <c r="D494">
        <v>163097349760.73193</v>
      </c>
      <c r="E494">
        <v>17131296</v>
      </c>
      <c r="F494" s="4">
        <v>1450</v>
      </c>
      <c r="G494">
        <f t="shared" si="32"/>
        <v>24840379200</v>
      </c>
      <c r="H494">
        <f t="shared" si="33"/>
        <v>32.875934964316492</v>
      </c>
      <c r="I494">
        <f t="shared" si="35"/>
        <v>1192589453018.9473</v>
      </c>
      <c r="J494" s="6">
        <v>0.12</v>
      </c>
      <c r="K494" s="5">
        <f t="shared" si="34"/>
        <v>0.19971494733862821</v>
      </c>
      <c r="L494" s="7"/>
    </row>
    <row r="495" spans="1:12" x14ac:dyDescent="0.25">
      <c r="A495" t="s">
        <v>14</v>
      </c>
      <c r="B495">
        <v>2018</v>
      </c>
      <c r="C495">
        <v>835096710123.5675</v>
      </c>
      <c r="D495">
        <v>168184075815.71005</v>
      </c>
      <c r="E495">
        <v>17231624</v>
      </c>
      <c r="F495" s="4">
        <v>1449</v>
      </c>
      <c r="G495">
        <f t="shared" si="32"/>
        <v>24968623176</v>
      </c>
      <c r="H495">
        <f t="shared" si="33"/>
        <v>33.445845381104867</v>
      </c>
      <c r="I495">
        <f t="shared" si="35"/>
        <v>1217662794472.3835</v>
      </c>
      <c r="J495" s="6">
        <v>0.12</v>
      </c>
      <c r="K495" s="5">
        <f t="shared" si="34"/>
        <v>0.20139472922941368</v>
      </c>
      <c r="L495" s="7"/>
    </row>
    <row r="496" spans="1:12" x14ac:dyDescent="0.25">
      <c r="A496" t="s">
        <v>14</v>
      </c>
      <c r="B496">
        <v>2019</v>
      </c>
      <c r="C496">
        <v>854304699361.25342</v>
      </c>
      <c r="D496">
        <v>180555701521.64987</v>
      </c>
      <c r="E496">
        <v>17344874</v>
      </c>
      <c r="F496" s="4">
        <v>1451</v>
      </c>
      <c r="G496">
        <f t="shared" si="32"/>
        <v>25167412174</v>
      </c>
      <c r="H496">
        <f t="shared" si="33"/>
        <v>33.944876551265779</v>
      </c>
      <c r="I496">
        <f t="shared" si="35"/>
        <v>1252098960657.3474</v>
      </c>
      <c r="J496" s="6">
        <v>0.12</v>
      </c>
      <c r="K496" s="5">
        <f t="shared" si="34"/>
        <v>0.2113481310083484</v>
      </c>
      <c r="L496" s="7"/>
    </row>
    <row r="497" spans="1:12" x14ac:dyDescent="0.25">
      <c r="A497" t="s">
        <v>14</v>
      </c>
      <c r="B497">
        <v>2020</v>
      </c>
      <c r="C497">
        <v>821260591753.75024</v>
      </c>
      <c r="D497">
        <v>175965937385.5116</v>
      </c>
      <c r="E497">
        <v>17441500</v>
      </c>
      <c r="F497" s="4">
        <v>1404</v>
      </c>
      <c r="G497">
        <f t="shared" si="32"/>
        <v>24487866000</v>
      </c>
      <c r="H497">
        <f t="shared" si="33"/>
        <v>33.537450415391454</v>
      </c>
      <c r="I497">
        <f t="shared" si="35"/>
        <v>1277813022763.9775</v>
      </c>
      <c r="J497" s="6">
        <v>0.12</v>
      </c>
      <c r="K497" s="5">
        <f t="shared" si="34"/>
        <v>0.21426321821889374</v>
      </c>
      <c r="L497" s="7"/>
    </row>
    <row r="498" spans="1:12" x14ac:dyDescent="0.25">
      <c r="A498" t="s">
        <v>14</v>
      </c>
      <c r="B498">
        <v>2021</v>
      </c>
      <c r="C498">
        <v>872809728969.2616</v>
      </c>
      <c r="D498">
        <v>180255317549.20651</v>
      </c>
      <c r="E498">
        <v>17533044</v>
      </c>
      <c r="F498" s="4">
        <v>1412</v>
      </c>
      <c r="G498">
        <f t="shared" si="32"/>
        <v>24756658128</v>
      </c>
      <c r="H498">
        <f t="shared" si="33"/>
        <v>35.255555271497087</v>
      </c>
      <c r="I498">
        <f t="shared" si="35"/>
        <v>1304730777581.5068</v>
      </c>
      <c r="J498" s="6">
        <v>0.12</v>
      </c>
      <c r="K498" s="5">
        <f t="shared" si="34"/>
        <v>0.2065230388323899</v>
      </c>
      <c r="L498" s="7"/>
    </row>
    <row r="499" spans="1:12" x14ac:dyDescent="0.25">
      <c r="A499" t="s">
        <v>14</v>
      </c>
      <c r="B499">
        <v>2022</v>
      </c>
      <c r="C499">
        <v>916513359627.02649</v>
      </c>
      <c r="D499">
        <v>186404083766.75848</v>
      </c>
      <c r="E499">
        <v>17700982</v>
      </c>
      <c r="F499" s="4">
        <v>1415</v>
      </c>
      <c r="G499">
        <f t="shared" si="32"/>
        <v>25046889530</v>
      </c>
      <c r="H499">
        <f t="shared" si="33"/>
        <v>36.591903299180899</v>
      </c>
      <c r="I499">
        <f t="shared" si="35"/>
        <v>1334567168038.4846</v>
      </c>
      <c r="J499" s="6">
        <v>0.12</v>
      </c>
      <c r="K499" s="5">
        <f t="shared" si="34"/>
        <v>0.20338392431356953</v>
      </c>
      <c r="L499" s="7"/>
    </row>
    <row r="500" spans="1:12" x14ac:dyDescent="0.25">
      <c r="A500" t="s">
        <v>15</v>
      </c>
      <c r="B500">
        <v>1980</v>
      </c>
      <c r="C500">
        <v>164314436292.23929</v>
      </c>
      <c r="D500">
        <v>41632448072.749802</v>
      </c>
      <c r="E500">
        <v>4085620</v>
      </c>
      <c r="F500" s="4">
        <v>1569.4</v>
      </c>
      <c r="G500">
        <f t="shared" si="32"/>
        <v>6411972028</v>
      </c>
      <c r="H500">
        <f t="shared" si="33"/>
        <v>25.626193560219207</v>
      </c>
      <c r="I500">
        <f>D500</f>
        <v>41632448072.749802</v>
      </c>
      <c r="J500" s="6">
        <v>0.12</v>
      </c>
      <c r="K500" s="5">
        <f t="shared" si="34"/>
        <v>0.25337060462968058</v>
      </c>
      <c r="L500" s="7"/>
    </row>
    <row r="501" spans="1:12" x14ac:dyDescent="0.25">
      <c r="A501" t="s">
        <v>15</v>
      </c>
      <c r="B501">
        <v>1981</v>
      </c>
      <c r="C501">
        <v>166940746098.99759</v>
      </c>
      <c r="D501">
        <v>43730867004.236832</v>
      </c>
      <c r="E501">
        <v>4099702</v>
      </c>
      <c r="F501" s="4">
        <v>1560.5</v>
      </c>
      <c r="G501">
        <f t="shared" si="32"/>
        <v>6397584971</v>
      </c>
      <c r="H501">
        <f t="shared" si="33"/>
        <v>26.094338231650443</v>
      </c>
      <c r="I501">
        <f>I500-(I500*J500)+D501</f>
        <v>80367421308.256653</v>
      </c>
      <c r="J501" s="6">
        <v>0.12</v>
      </c>
      <c r="K501" s="5">
        <f t="shared" si="34"/>
        <v>0.26195442410628722</v>
      </c>
      <c r="L501" s="7"/>
    </row>
    <row r="502" spans="1:12" x14ac:dyDescent="0.25">
      <c r="A502" t="s">
        <v>15</v>
      </c>
      <c r="B502">
        <v>1982</v>
      </c>
      <c r="C502">
        <v>167333595122.45529</v>
      </c>
      <c r="D502">
        <v>44078206055.595718</v>
      </c>
      <c r="E502">
        <v>4114787</v>
      </c>
      <c r="F502" s="4">
        <v>1549.4</v>
      </c>
      <c r="G502">
        <f t="shared" si="32"/>
        <v>6375450977.8000002</v>
      </c>
      <c r="H502">
        <f t="shared" si="33"/>
        <v>26.246550354653923</v>
      </c>
      <c r="I502">
        <f t="shared" ref="I502:I542" si="36">I501-(I501*J501)+D502</f>
        <v>114801536806.86157</v>
      </c>
      <c r="J502" s="6">
        <v>0.12</v>
      </c>
      <c r="K502" s="5">
        <f t="shared" si="34"/>
        <v>0.26341516193050857</v>
      </c>
      <c r="L502" s="7"/>
    </row>
    <row r="503" spans="1:12" x14ac:dyDescent="0.25">
      <c r="A503" t="s">
        <v>15</v>
      </c>
      <c r="B503">
        <v>1983</v>
      </c>
      <c r="C503">
        <v>173981771210.08575</v>
      </c>
      <c r="D503">
        <v>46504247184.044617</v>
      </c>
      <c r="E503">
        <v>4128432</v>
      </c>
      <c r="F503" s="4">
        <v>1542.8</v>
      </c>
      <c r="G503">
        <f t="shared" si="32"/>
        <v>6369344889.5999994</v>
      </c>
      <c r="H503">
        <f t="shared" si="33"/>
        <v>27.315489147740589</v>
      </c>
      <c r="I503">
        <f t="shared" si="36"/>
        <v>147529599574.08279</v>
      </c>
      <c r="J503" s="6">
        <v>0.12</v>
      </c>
      <c r="K503" s="5">
        <f t="shared" si="34"/>
        <v>0.26729379095635253</v>
      </c>
      <c r="L503" s="7"/>
    </row>
    <row r="504" spans="1:12" x14ac:dyDescent="0.25">
      <c r="A504" t="s">
        <v>15</v>
      </c>
      <c r="B504">
        <v>1984</v>
      </c>
      <c r="C504">
        <v>184511811511.83218</v>
      </c>
      <c r="D504">
        <v>47106913299.576294</v>
      </c>
      <c r="E504">
        <v>4140099</v>
      </c>
      <c r="F504" s="4">
        <v>1537.9</v>
      </c>
      <c r="G504">
        <f t="shared" si="32"/>
        <v>6367058252.1000004</v>
      </c>
      <c r="H504">
        <f t="shared" si="33"/>
        <v>28.979130425102674</v>
      </c>
      <c r="I504">
        <f t="shared" si="36"/>
        <v>176932960924.76917</v>
      </c>
      <c r="J504" s="6">
        <v>0.12</v>
      </c>
      <c r="K504" s="5">
        <f t="shared" si="34"/>
        <v>0.25530567888091799</v>
      </c>
      <c r="L504" s="7"/>
    </row>
    <row r="505" spans="1:12" x14ac:dyDescent="0.25">
      <c r="A505" t="s">
        <v>15</v>
      </c>
      <c r="B505">
        <v>1985</v>
      </c>
      <c r="C505">
        <v>194758499534.97983</v>
      </c>
      <c r="D505">
        <v>45616492714.68428</v>
      </c>
      <c r="E505">
        <v>4152516</v>
      </c>
      <c r="F505" s="4">
        <v>1532</v>
      </c>
      <c r="G505">
        <f t="shared" si="32"/>
        <v>6361654512</v>
      </c>
      <c r="H505">
        <f t="shared" si="33"/>
        <v>30.614441442490556</v>
      </c>
      <c r="I505">
        <f t="shared" si="36"/>
        <v>201317498328.48114</v>
      </c>
      <c r="J505" s="6">
        <v>0.12</v>
      </c>
      <c r="K505" s="5">
        <f t="shared" si="34"/>
        <v>0.23422080588832672</v>
      </c>
      <c r="L505" s="7"/>
    </row>
    <row r="506" spans="1:12" x14ac:dyDescent="0.25">
      <c r="A506" t="s">
        <v>15</v>
      </c>
      <c r="B506">
        <v>1986</v>
      </c>
      <c r="C506">
        <v>202630856670.45572</v>
      </c>
      <c r="D506">
        <v>48991794977.782341</v>
      </c>
      <c r="E506">
        <v>4167354</v>
      </c>
      <c r="F506" s="4">
        <v>1528</v>
      </c>
      <c r="G506">
        <f t="shared" si="32"/>
        <v>6367716912</v>
      </c>
      <c r="H506">
        <f t="shared" si="33"/>
        <v>31.821586837284912</v>
      </c>
      <c r="I506">
        <f t="shared" si="36"/>
        <v>226151193506.84576</v>
      </c>
      <c r="J506" s="6">
        <v>0.12</v>
      </c>
      <c r="K506" s="5">
        <f t="shared" si="34"/>
        <v>0.24177855131639245</v>
      </c>
      <c r="L506" s="7"/>
    </row>
    <row r="507" spans="1:12" x14ac:dyDescent="0.25">
      <c r="A507" t="s">
        <v>15</v>
      </c>
      <c r="B507">
        <v>1987</v>
      </c>
      <c r="C507">
        <v>206183982639.24768</v>
      </c>
      <c r="D507">
        <v>49369019324.170685</v>
      </c>
      <c r="E507">
        <v>4186905</v>
      </c>
      <c r="F507" s="4">
        <v>1501</v>
      </c>
      <c r="G507">
        <f t="shared" si="32"/>
        <v>6284544405</v>
      </c>
      <c r="H507">
        <f t="shared" si="33"/>
        <v>32.808103396517836</v>
      </c>
      <c r="I507">
        <f t="shared" si="36"/>
        <v>248382069610.19495</v>
      </c>
      <c r="J507" s="6">
        <v>0.12</v>
      </c>
      <c r="K507" s="5">
        <f t="shared" si="34"/>
        <v>0.23944158363916071</v>
      </c>
      <c r="L507" s="7"/>
    </row>
    <row r="508" spans="1:12" x14ac:dyDescent="0.25">
      <c r="A508" t="s">
        <v>15</v>
      </c>
      <c r="B508">
        <v>1988</v>
      </c>
      <c r="C508">
        <v>205657951844.57993</v>
      </c>
      <c r="D508">
        <v>48870517722.434608</v>
      </c>
      <c r="E508">
        <v>4209488</v>
      </c>
      <c r="F508" s="4">
        <v>1504</v>
      </c>
      <c r="G508">
        <f t="shared" si="32"/>
        <v>6331069952</v>
      </c>
      <c r="H508">
        <f t="shared" si="33"/>
        <v>32.48391715836469</v>
      </c>
      <c r="I508">
        <f t="shared" si="36"/>
        <v>267446738979.40616</v>
      </c>
      <c r="J508" s="6">
        <v>0.12</v>
      </c>
      <c r="K508" s="5">
        <f t="shared" si="34"/>
        <v>0.23763009056594658</v>
      </c>
      <c r="L508" s="7"/>
    </row>
    <row r="509" spans="1:12" x14ac:dyDescent="0.25">
      <c r="A509" t="s">
        <v>15</v>
      </c>
      <c r="B509">
        <v>1989</v>
      </c>
      <c r="C509">
        <v>207793200372.01611</v>
      </c>
      <c r="D509">
        <v>45574082876.924637</v>
      </c>
      <c r="E509">
        <v>4226901</v>
      </c>
      <c r="F509" s="4">
        <v>1501</v>
      </c>
      <c r="G509">
        <f t="shared" si="32"/>
        <v>6344578401</v>
      </c>
      <c r="H509">
        <f t="shared" si="33"/>
        <v>32.751301542631232</v>
      </c>
      <c r="I509">
        <f t="shared" si="36"/>
        <v>280927213178.80206</v>
      </c>
      <c r="J509" s="6">
        <v>0.12</v>
      </c>
      <c r="K509" s="5">
        <f t="shared" si="34"/>
        <v>0.2193242261793576</v>
      </c>
      <c r="L509" s="7"/>
    </row>
    <row r="510" spans="1:12" x14ac:dyDescent="0.25">
      <c r="A510" t="s">
        <v>15</v>
      </c>
      <c r="B510">
        <v>1990</v>
      </c>
      <c r="C510">
        <v>211808370362.7157</v>
      </c>
      <c r="D510">
        <v>40874403224.139687</v>
      </c>
      <c r="E510">
        <v>4241473</v>
      </c>
      <c r="F510" s="4">
        <v>1493</v>
      </c>
      <c r="G510">
        <f t="shared" si="32"/>
        <v>6332519189</v>
      </c>
      <c r="H510">
        <f t="shared" si="33"/>
        <v>33.447726574700425</v>
      </c>
      <c r="I510">
        <f t="shared" si="36"/>
        <v>288090350821.48553</v>
      </c>
      <c r="J510" s="6">
        <v>0.12</v>
      </c>
      <c r="K510" s="5">
        <f t="shared" si="34"/>
        <v>0.19297822439284837</v>
      </c>
      <c r="L510" s="7"/>
    </row>
    <row r="511" spans="1:12" x14ac:dyDescent="0.25">
      <c r="A511" t="s">
        <v>15</v>
      </c>
      <c r="B511">
        <v>1991</v>
      </c>
      <c r="C511">
        <v>218341469463.67673</v>
      </c>
      <c r="D511">
        <v>40712080190.141548</v>
      </c>
      <c r="E511">
        <v>4261732</v>
      </c>
      <c r="F511" s="4">
        <v>1490</v>
      </c>
      <c r="G511">
        <f t="shared" si="32"/>
        <v>6349980680</v>
      </c>
      <c r="H511">
        <f t="shared" si="33"/>
        <v>34.38458799589241</v>
      </c>
      <c r="I511">
        <f t="shared" si="36"/>
        <v>294231588913.04883</v>
      </c>
      <c r="J511" s="6">
        <v>0.12</v>
      </c>
      <c r="K511" s="5">
        <f t="shared" si="34"/>
        <v>0.18646059445392899</v>
      </c>
      <c r="L511" s="7"/>
    </row>
    <row r="512" spans="1:12" x14ac:dyDescent="0.25">
      <c r="A512" t="s">
        <v>15</v>
      </c>
      <c r="B512">
        <v>1992</v>
      </c>
      <c r="C512">
        <v>226145995659.81189</v>
      </c>
      <c r="D512">
        <v>39909145396.300484</v>
      </c>
      <c r="E512">
        <v>4286401</v>
      </c>
      <c r="F512" s="4">
        <v>1500</v>
      </c>
      <c r="G512">
        <f t="shared" si="32"/>
        <v>6429601500</v>
      </c>
      <c r="H512">
        <f t="shared" si="33"/>
        <v>35.172630163753055</v>
      </c>
      <c r="I512">
        <f t="shared" si="36"/>
        <v>298832943639.78345</v>
      </c>
      <c r="J512" s="6">
        <v>0.12</v>
      </c>
      <c r="K512" s="5">
        <f t="shared" si="34"/>
        <v>0.17647513624930697</v>
      </c>
      <c r="L512" s="7"/>
    </row>
    <row r="513" spans="1:12" x14ac:dyDescent="0.25">
      <c r="A513" t="s">
        <v>15</v>
      </c>
      <c r="B513">
        <v>1993</v>
      </c>
      <c r="C513">
        <v>232580262478.04068</v>
      </c>
      <c r="D513">
        <v>42006696290.172554</v>
      </c>
      <c r="E513">
        <v>4311991</v>
      </c>
      <c r="F513" s="4">
        <v>1497</v>
      </c>
      <c r="G513">
        <f t="shared" si="32"/>
        <v>6455050527</v>
      </c>
      <c r="H513">
        <f t="shared" si="33"/>
        <v>36.030742362931264</v>
      </c>
      <c r="I513">
        <f t="shared" si="36"/>
        <v>304979686693.18201</v>
      </c>
      <c r="J513" s="6">
        <v>0.12</v>
      </c>
      <c r="K513" s="5">
        <f t="shared" si="34"/>
        <v>0.18061161270784387</v>
      </c>
      <c r="L513" s="7"/>
    </row>
    <row r="514" spans="1:12" x14ac:dyDescent="0.25">
      <c r="A514" t="s">
        <v>15</v>
      </c>
      <c r="B514">
        <v>1994</v>
      </c>
      <c r="C514">
        <v>244337831972.71875</v>
      </c>
      <c r="D514">
        <v>44213247907.409294</v>
      </c>
      <c r="E514">
        <v>4336613</v>
      </c>
      <c r="F514" s="4">
        <v>1494</v>
      </c>
      <c r="G514">
        <f t="shared" si="32"/>
        <v>6478899822</v>
      </c>
      <c r="H514">
        <f t="shared" si="33"/>
        <v>37.712858461406654</v>
      </c>
      <c r="I514">
        <f t="shared" si="36"/>
        <v>312595372197.40948</v>
      </c>
      <c r="J514" s="6">
        <v>0.12</v>
      </c>
      <c r="K514" s="5">
        <f t="shared" si="34"/>
        <v>0.18095129825145487</v>
      </c>
      <c r="L514" s="7"/>
    </row>
    <row r="515" spans="1:12" x14ac:dyDescent="0.25">
      <c r="A515" t="s">
        <v>15</v>
      </c>
      <c r="B515">
        <v>1995</v>
      </c>
      <c r="C515">
        <v>254491515965.69177</v>
      </c>
      <c r="D515">
        <v>45640177741.035423</v>
      </c>
      <c r="E515">
        <v>4359184</v>
      </c>
      <c r="F515" s="4">
        <v>1479</v>
      </c>
      <c r="G515">
        <f t="shared" ref="G515:G578" si="37">E515*F515</f>
        <v>6447233136</v>
      </c>
      <c r="H515">
        <f t="shared" ref="H515:H578" si="38">C515/G515</f>
        <v>39.47298175781242</v>
      </c>
      <c r="I515">
        <f t="shared" si="36"/>
        <v>320724105274.75574</v>
      </c>
      <c r="J515" s="6">
        <v>0.12</v>
      </c>
      <c r="K515" s="5">
        <f t="shared" ref="K515:K578" si="39">D515/C515</f>
        <v>0.17933870041934213</v>
      </c>
      <c r="L515" s="7"/>
    </row>
    <row r="516" spans="1:12" x14ac:dyDescent="0.25">
      <c r="A516" t="s">
        <v>15</v>
      </c>
      <c r="B516">
        <v>1996</v>
      </c>
      <c r="C516">
        <v>267287258447.86597</v>
      </c>
      <c r="D516">
        <v>49912162860.390594</v>
      </c>
      <c r="E516">
        <v>4381336</v>
      </c>
      <c r="F516" s="4">
        <v>1474</v>
      </c>
      <c r="G516">
        <f t="shared" si="37"/>
        <v>6458089264</v>
      </c>
      <c r="H516">
        <f t="shared" si="38"/>
        <v>41.387978320125299</v>
      </c>
      <c r="I516">
        <f t="shared" si="36"/>
        <v>332149375502.17566</v>
      </c>
      <c r="J516" s="6">
        <v>0.12</v>
      </c>
      <c r="K516" s="5">
        <f t="shared" si="39"/>
        <v>0.18673603504420655</v>
      </c>
      <c r="L516" s="7"/>
    </row>
    <row r="517" spans="1:12" x14ac:dyDescent="0.25">
      <c r="A517" t="s">
        <v>15</v>
      </c>
      <c r="B517">
        <v>1997</v>
      </c>
      <c r="C517">
        <v>281412338534.66974</v>
      </c>
      <c r="D517">
        <v>57279322103.957809</v>
      </c>
      <c r="E517">
        <v>4405157</v>
      </c>
      <c r="F517" s="4">
        <v>1468</v>
      </c>
      <c r="G517">
        <f t="shared" si="37"/>
        <v>6466770476</v>
      </c>
      <c r="H517">
        <f t="shared" si="38"/>
        <v>43.516673365642077</v>
      </c>
      <c r="I517">
        <f t="shared" si="36"/>
        <v>349570772545.87238</v>
      </c>
      <c r="J517" s="6">
        <v>0.12</v>
      </c>
      <c r="K517" s="5">
        <f t="shared" si="39"/>
        <v>0.2035423265455045</v>
      </c>
      <c r="L517" s="7"/>
    </row>
    <row r="518" spans="1:12" x14ac:dyDescent="0.25">
      <c r="A518" t="s">
        <v>15</v>
      </c>
      <c r="B518">
        <v>1998</v>
      </c>
      <c r="C518">
        <v>288922351968.58521</v>
      </c>
      <c r="D518">
        <v>64330763666.425507</v>
      </c>
      <c r="E518">
        <v>4431464</v>
      </c>
      <c r="F518" s="4">
        <v>1467</v>
      </c>
      <c r="G518">
        <f t="shared" si="37"/>
        <v>6500957688</v>
      </c>
      <c r="H518">
        <f t="shared" si="38"/>
        <v>44.443044522794196</v>
      </c>
      <c r="I518">
        <f t="shared" si="36"/>
        <v>371953043506.79321</v>
      </c>
      <c r="J518" s="6">
        <v>0.12</v>
      </c>
      <c r="K518" s="5">
        <f t="shared" si="39"/>
        <v>0.22265762142702011</v>
      </c>
      <c r="L518" s="7"/>
    </row>
    <row r="519" spans="1:12" x14ac:dyDescent="0.25">
      <c r="A519" t="s">
        <v>15</v>
      </c>
      <c r="B519">
        <v>1999</v>
      </c>
      <c r="C519">
        <v>294908959388.24005</v>
      </c>
      <c r="D519">
        <v>61160194275.085213</v>
      </c>
      <c r="E519">
        <v>4461913</v>
      </c>
      <c r="F519" s="4">
        <v>1465</v>
      </c>
      <c r="G519">
        <f t="shared" si="37"/>
        <v>6536702545</v>
      </c>
      <c r="H519">
        <f t="shared" si="38"/>
        <v>45.115860383431297</v>
      </c>
      <c r="I519">
        <f t="shared" si="36"/>
        <v>388478872561.06323</v>
      </c>
      <c r="J519" s="6">
        <v>0.12</v>
      </c>
      <c r="K519" s="5">
        <f t="shared" si="39"/>
        <v>0.20738669453093622</v>
      </c>
      <c r="L519" s="7"/>
    </row>
    <row r="520" spans="1:12" x14ac:dyDescent="0.25">
      <c r="A520" t="s">
        <v>15</v>
      </c>
      <c r="B520">
        <v>2000</v>
      </c>
      <c r="C520">
        <v>304696827529.19281</v>
      </c>
      <c r="D520">
        <v>59148083083.60025</v>
      </c>
      <c r="E520">
        <v>4490967</v>
      </c>
      <c r="F520" s="4">
        <v>1448</v>
      </c>
      <c r="G520">
        <f t="shared" si="37"/>
        <v>6502920216</v>
      </c>
      <c r="H520">
        <f t="shared" si="38"/>
        <v>46.855384566999092</v>
      </c>
      <c r="I520">
        <f t="shared" si="36"/>
        <v>401009490937.33594</v>
      </c>
      <c r="J520" s="6">
        <v>0.12</v>
      </c>
      <c r="K520" s="5">
        <f t="shared" si="39"/>
        <v>0.19412109920288984</v>
      </c>
      <c r="L520" s="7"/>
    </row>
    <row r="521" spans="1:12" x14ac:dyDescent="0.25">
      <c r="A521" t="s">
        <v>15</v>
      </c>
      <c r="B521">
        <v>2001</v>
      </c>
      <c r="C521">
        <v>310995308463.36664</v>
      </c>
      <c r="D521">
        <v>58785615376.666283</v>
      </c>
      <c r="E521">
        <v>4513751</v>
      </c>
      <c r="F521" s="4">
        <v>1424</v>
      </c>
      <c r="G521">
        <f t="shared" si="37"/>
        <v>6427581424</v>
      </c>
      <c r="H521">
        <f t="shared" si="38"/>
        <v>48.384499230478617</v>
      </c>
      <c r="I521">
        <f t="shared" si="36"/>
        <v>411673967401.52191</v>
      </c>
      <c r="J521" s="6">
        <v>0.12</v>
      </c>
      <c r="K521" s="5">
        <f t="shared" si="39"/>
        <v>0.18902412279827324</v>
      </c>
      <c r="L521" s="7"/>
    </row>
    <row r="522" spans="1:12" x14ac:dyDescent="0.25">
      <c r="A522" t="s">
        <v>15</v>
      </c>
      <c r="B522">
        <v>2002</v>
      </c>
      <c r="C522">
        <v>315279446109.3313</v>
      </c>
      <c r="D522">
        <v>58577782370.569351</v>
      </c>
      <c r="E522">
        <v>4538159</v>
      </c>
      <c r="F522" s="4">
        <v>1412</v>
      </c>
      <c r="G522">
        <f t="shared" si="37"/>
        <v>6407880508</v>
      </c>
      <c r="H522">
        <f t="shared" si="38"/>
        <v>49.20182979625114</v>
      </c>
      <c r="I522">
        <f t="shared" si="36"/>
        <v>420850873683.90863</v>
      </c>
      <c r="J522" s="6">
        <v>0.12</v>
      </c>
      <c r="K522" s="5">
        <f t="shared" si="39"/>
        <v>0.18579638823095365</v>
      </c>
      <c r="L522" s="7"/>
    </row>
    <row r="523" spans="1:12" x14ac:dyDescent="0.25">
      <c r="A523" t="s">
        <v>15</v>
      </c>
      <c r="B523">
        <v>2003</v>
      </c>
      <c r="C523">
        <v>318258551203.88544</v>
      </c>
      <c r="D523">
        <v>58864234783.50724</v>
      </c>
      <c r="E523">
        <v>4564855</v>
      </c>
      <c r="F523" s="4">
        <v>1401</v>
      </c>
      <c r="G523">
        <f t="shared" si="37"/>
        <v>6395361855</v>
      </c>
      <c r="H523">
        <f t="shared" si="38"/>
        <v>49.763963075062847</v>
      </c>
      <c r="I523">
        <f t="shared" si="36"/>
        <v>429213003625.34686</v>
      </c>
      <c r="J523" s="6">
        <v>0.12</v>
      </c>
      <c r="K523" s="5">
        <f t="shared" si="39"/>
        <v>0.18495727628005554</v>
      </c>
      <c r="L523" s="7"/>
    </row>
    <row r="524" spans="1:12" x14ac:dyDescent="0.25">
      <c r="A524" t="s">
        <v>15</v>
      </c>
      <c r="B524">
        <v>2004</v>
      </c>
      <c r="C524">
        <v>331035320863.90405</v>
      </c>
      <c r="D524">
        <v>64837201612.069809</v>
      </c>
      <c r="E524">
        <v>4591910</v>
      </c>
      <c r="F524" s="4">
        <v>1423</v>
      </c>
      <c r="G524">
        <f t="shared" si="37"/>
        <v>6534287930</v>
      </c>
      <c r="H524">
        <f t="shared" si="38"/>
        <v>50.661269354854412</v>
      </c>
      <c r="I524">
        <f t="shared" si="36"/>
        <v>442544644802.37506</v>
      </c>
      <c r="J524" s="6">
        <v>0.12</v>
      </c>
      <c r="K524" s="5">
        <f t="shared" si="39"/>
        <v>0.19586188399130319</v>
      </c>
      <c r="L524" s="7"/>
    </row>
    <row r="525" spans="1:12" x14ac:dyDescent="0.25">
      <c r="A525" t="s">
        <v>15</v>
      </c>
      <c r="B525">
        <v>2005</v>
      </c>
      <c r="C525">
        <v>339924026041.12836</v>
      </c>
      <c r="D525">
        <v>72542771520.099152</v>
      </c>
      <c r="E525">
        <v>4623291</v>
      </c>
      <c r="F525" s="4">
        <v>1429</v>
      </c>
      <c r="G525">
        <f t="shared" si="37"/>
        <v>6606682839</v>
      </c>
      <c r="H525">
        <f t="shared" si="38"/>
        <v>51.451542979257027</v>
      </c>
      <c r="I525">
        <f t="shared" si="36"/>
        <v>461982058946.18921</v>
      </c>
      <c r="J525" s="6">
        <v>0.12</v>
      </c>
      <c r="K525" s="5">
        <f t="shared" si="39"/>
        <v>0.21340877949981094</v>
      </c>
      <c r="L525" s="7"/>
    </row>
    <row r="526" spans="1:12" x14ac:dyDescent="0.25">
      <c r="A526" t="s">
        <v>15</v>
      </c>
      <c r="B526">
        <v>2006</v>
      </c>
      <c r="C526">
        <v>348291164617.1333</v>
      </c>
      <c r="D526">
        <v>79119768523.302628</v>
      </c>
      <c r="E526">
        <v>4660677</v>
      </c>
      <c r="F526" s="4">
        <v>1426</v>
      </c>
      <c r="G526">
        <f t="shared" si="37"/>
        <v>6646125402</v>
      </c>
      <c r="H526">
        <f t="shared" si="38"/>
        <v>52.405144885217332</v>
      </c>
      <c r="I526">
        <f t="shared" si="36"/>
        <v>485663980395.9491</v>
      </c>
      <c r="J526" s="6">
        <v>0.12</v>
      </c>
      <c r="K526" s="5">
        <f t="shared" si="39"/>
        <v>0.22716559178375015</v>
      </c>
      <c r="L526" s="7"/>
    </row>
    <row r="527" spans="1:12" x14ac:dyDescent="0.25">
      <c r="A527" t="s">
        <v>15</v>
      </c>
      <c r="B527">
        <v>2007</v>
      </c>
      <c r="C527">
        <v>358440508422.03149</v>
      </c>
      <c r="D527">
        <v>88813516585.718674</v>
      </c>
      <c r="E527">
        <v>4709153</v>
      </c>
      <c r="F527" s="4">
        <v>1438</v>
      </c>
      <c r="G527">
        <f t="shared" si="37"/>
        <v>6771762014</v>
      </c>
      <c r="H527">
        <f t="shared" si="38"/>
        <v>52.931645808135087</v>
      </c>
      <c r="I527">
        <f t="shared" si="36"/>
        <v>516197819334.15387</v>
      </c>
      <c r="J527" s="6">
        <v>0.12</v>
      </c>
      <c r="K527" s="5">
        <f t="shared" si="39"/>
        <v>0.24777756559018363</v>
      </c>
      <c r="L527" s="7"/>
    </row>
    <row r="528" spans="1:12" x14ac:dyDescent="0.25">
      <c r="A528" t="s">
        <v>15</v>
      </c>
      <c r="B528">
        <v>2008</v>
      </c>
      <c r="C528">
        <v>360167903275.80853</v>
      </c>
      <c r="D528">
        <v>89816968068.616272</v>
      </c>
      <c r="E528">
        <v>4768212</v>
      </c>
      <c r="F528" s="4">
        <v>1443</v>
      </c>
      <c r="G528">
        <f t="shared" si="37"/>
        <v>6880529916</v>
      </c>
      <c r="H528">
        <f t="shared" si="38"/>
        <v>52.345954115870242</v>
      </c>
      <c r="I528">
        <f t="shared" si="36"/>
        <v>544071049082.67169</v>
      </c>
      <c r="J528" s="6">
        <v>0.12</v>
      </c>
      <c r="K528" s="5">
        <f t="shared" si="39"/>
        <v>0.24937526984417721</v>
      </c>
      <c r="L528" s="7"/>
    </row>
    <row r="529" spans="1:12" x14ac:dyDescent="0.25">
      <c r="A529" t="s">
        <v>15</v>
      </c>
      <c r="B529">
        <v>2009</v>
      </c>
      <c r="C529">
        <v>353179332437.73889</v>
      </c>
      <c r="D529">
        <v>83515635010.850433</v>
      </c>
      <c r="E529">
        <v>4828726</v>
      </c>
      <c r="F529" s="4">
        <v>1422</v>
      </c>
      <c r="G529">
        <f t="shared" si="37"/>
        <v>6866448372</v>
      </c>
      <c r="H529">
        <f t="shared" si="38"/>
        <v>51.435518524821859</v>
      </c>
      <c r="I529">
        <f t="shared" si="36"/>
        <v>562298158203.60156</v>
      </c>
      <c r="J529" s="6">
        <v>0.12</v>
      </c>
      <c r="K529" s="5">
        <f t="shared" si="39"/>
        <v>0.23646806973217549</v>
      </c>
      <c r="L529" s="7"/>
    </row>
    <row r="530" spans="1:12" x14ac:dyDescent="0.25">
      <c r="A530" t="s">
        <v>15</v>
      </c>
      <c r="B530">
        <v>2010</v>
      </c>
      <c r="C530">
        <v>355959036891.59857</v>
      </c>
      <c r="D530">
        <v>78152898625.607071</v>
      </c>
      <c r="E530">
        <v>4889252</v>
      </c>
      <c r="F530" s="4">
        <v>1430</v>
      </c>
      <c r="G530">
        <f t="shared" si="37"/>
        <v>6991630360</v>
      </c>
      <c r="H530">
        <f t="shared" si="38"/>
        <v>50.912164768905001</v>
      </c>
      <c r="I530">
        <f t="shared" si="36"/>
        <v>572975277844.77649</v>
      </c>
      <c r="J530" s="6">
        <v>0.12</v>
      </c>
      <c r="K530" s="5">
        <f t="shared" si="39"/>
        <v>0.2195558772944069</v>
      </c>
      <c r="L530" s="7"/>
    </row>
    <row r="531" spans="1:12" x14ac:dyDescent="0.25">
      <c r="A531" t="s">
        <v>15</v>
      </c>
      <c r="B531">
        <v>2011</v>
      </c>
      <c r="C531">
        <v>359894719437.84222</v>
      </c>
      <c r="D531">
        <v>83976066962.901688</v>
      </c>
      <c r="E531">
        <v>4953088</v>
      </c>
      <c r="F531" s="4">
        <v>1435</v>
      </c>
      <c r="G531">
        <f t="shared" si="37"/>
        <v>7107681280</v>
      </c>
      <c r="H531">
        <f t="shared" si="38"/>
        <v>50.634617009422549</v>
      </c>
      <c r="I531">
        <f t="shared" si="36"/>
        <v>588194311466.30505</v>
      </c>
      <c r="J531" s="6">
        <v>0.12</v>
      </c>
      <c r="K531" s="5">
        <f t="shared" si="39"/>
        <v>0.23333509059002816</v>
      </c>
      <c r="L531" s="7"/>
    </row>
    <row r="532" spans="1:12" x14ac:dyDescent="0.25">
      <c r="A532" t="s">
        <v>15</v>
      </c>
      <c r="B532">
        <v>2012</v>
      </c>
      <c r="C532">
        <v>369676511315.49023</v>
      </c>
      <c r="D532">
        <v>90310013433.915436</v>
      </c>
      <c r="E532">
        <v>5018573</v>
      </c>
      <c r="F532" s="4">
        <v>1431</v>
      </c>
      <c r="G532">
        <f t="shared" si="37"/>
        <v>7181577963</v>
      </c>
      <c r="H532">
        <f t="shared" si="38"/>
        <v>51.47566638141226</v>
      </c>
      <c r="I532">
        <f t="shared" si="36"/>
        <v>607921007524.26392</v>
      </c>
      <c r="J532" s="6">
        <v>0.12</v>
      </c>
      <c r="K532" s="5">
        <f t="shared" si="39"/>
        <v>0.24429470271873141</v>
      </c>
      <c r="L532" s="7"/>
    </row>
    <row r="533" spans="1:12" x14ac:dyDescent="0.25">
      <c r="A533" t="s">
        <v>15</v>
      </c>
      <c r="B533">
        <v>2013</v>
      </c>
      <c r="C533">
        <v>373433130102.30432</v>
      </c>
      <c r="D533">
        <v>96030505321.897247</v>
      </c>
      <c r="E533">
        <v>5079623</v>
      </c>
      <c r="F533" s="4">
        <v>1421</v>
      </c>
      <c r="G533">
        <f t="shared" si="37"/>
        <v>7218144283</v>
      </c>
      <c r="H533">
        <f t="shared" si="38"/>
        <v>51.735337430398154</v>
      </c>
      <c r="I533">
        <f t="shared" si="36"/>
        <v>631000991943.24951</v>
      </c>
      <c r="J533" s="6">
        <v>0.12</v>
      </c>
      <c r="K533" s="5">
        <f t="shared" si="39"/>
        <v>0.25715582678909366</v>
      </c>
      <c r="L533" s="7"/>
    </row>
    <row r="534" spans="1:12" x14ac:dyDescent="0.25">
      <c r="A534" t="s">
        <v>15</v>
      </c>
      <c r="B534">
        <v>2014</v>
      </c>
      <c r="C534">
        <v>381081533533.11963</v>
      </c>
      <c r="D534">
        <v>95788570838.069611</v>
      </c>
      <c r="E534">
        <v>5137232</v>
      </c>
      <c r="F534" s="4">
        <v>1424</v>
      </c>
      <c r="G534">
        <f t="shared" si="37"/>
        <v>7315418368</v>
      </c>
      <c r="H534">
        <f t="shared" si="38"/>
        <v>52.092924062975428</v>
      </c>
      <c r="I534">
        <f t="shared" si="36"/>
        <v>651069443748.12915</v>
      </c>
      <c r="J534" s="6">
        <v>0.12</v>
      </c>
      <c r="K534" s="5">
        <f t="shared" si="39"/>
        <v>0.25135978106833318</v>
      </c>
      <c r="L534" s="7"/>
    </row>
    <row r="535" spans="1:12" x14ac:dyDescent="0.25">
      <c r="A535" t="s">
        <v>15</v>
      </c>
      <c r="B535">
        <v>2015</v>
      </c>
      <c r="C535">
        <v>388159512245.53046</v>
      </c>
      <c r="D535">
        <v>91953332644.414551</v>
      </c>
      <c r="E535">
        <v>5188607</v>
      </c>
      <c r="F535" s="4">
        <v>1427</v>
      </c>
      <c r="G535">
        <f t="shared" si="37"/>
        <v>7404142189</v>
      </c>
      <c r="H535">
        <f t="shared" si="38"/>
        <v>52.424643170980907</v>
      </c>
      <c r="I535">
        <f t="shared" si="36"/>
        <v>664894443142.76819</v>
      </c>
      <c r="J535" s="6">
        <v>0.12</v>
      </c>
      <c r="K535" s="5">
        <f t="shared" si="39"/>
        <v>0.23689573421106691</v>
      </c>
      <c r="L535" s="7"/>
    </row>
    <row r="536" spans="1:12" x14ac:dyDescent="0.25">
      <c r="A536" t="s">
        <v>15</v>
      </c>
      <c r="B536">
        <v>2016</v>
      </c>
      <c r="C536">
        <v>392680500155.00653</v>
      </c>
      <c r="D536">
        <v>95579125762.116318</v>
      </c>
      <c r="E536">
        <v>5234519</v>
      </c>
      <c r="F536" s="4">
        <v>1430</v>
      </c>
      <c r="G536">
        <f t="shared" si="37"/>
        <v>7485362170</v>
      </c>
      <c r="H536">
        <f t="shared" si="38"/>
        <v>52.459786345248617</v>
      </c>
      <c r="I536">
        <f t="shared" si="36"/>
        <v>680686235727.75232</v>
      </c>
      <c r="J536" s="6">
        <v>0.12</v>
      </c>
      <c r="K536" s="5">
        <f t="shared" si="39"/>
        <v>0.24340176230902083</v>
      </c>
      <c r="L536" s="7"/>
    </row>
    <row r="537" spans="1:12" x14ac:dyDescent="0.25">
      <c r="A537" t="s">
        <v>15</v>
      </c>
      <c r="B537">
        <v>2017</v>
      </c>
      <c r="C537">
        <v>402355151389.89337</v>
      </c>
      <c r="D537">
        <v>98097426888.498459</v>
      </c>
      <c r="E537">
        <v>5276968</v>
      </c>
      <c r="F537" s="4">
        <v>1419</v>
      </c>
      <c r="G537">
        <f t="shared" si="37"/>
        <v>7488017592</v>
      </c>
      <c r="H537">
        <f t="shared" si="38"/>
        <v>53.733200603021949</v>
      </c>
      <c r="I537">
        <f t="shared" si="36"/>
        <v>697101314328.92041</v>
      </c>
      <c r="J537" s="6">
        <v>0.12</v>
      </c>
      <c r="K537" s="5">
        <f t="shared" si="39"/>
        <v>0.24380805502211481</v>
      </c>
      <c r="L537" s="7"/>
    </row>
    <row r="538" spans="1:12" x14ac:dyDescent="0.25">
      <c r="A538" t="s">
        <v>15</v>
      </c>
      <c r="B538">
        <v>2018</v>
      </c>
      <c r="C538">
        <v>405690275911.95599</v>
      </c>
      <c r="D538">
        <v>100279549447.14267</v>
      </c>
      <c r="E538">
        <v>5311916</v>
      </c>
      <c r="F538" s="4">
        <v>1419</v>
      </c>
      <c r="G538">
        <f t="shared" si="37"/>
        <v>7537608804</v>
      </c>
      <c r="H538">
        <f t="shared" si="38"/>
        <v>53.82214525336834</v>
      </c>
      <c r="I538">
        <f t="shared" si="36"/>
        <v>713728706056.59265</v>
      </c>
      <c r="J538" s="6">
        <v>0.12</v>
      </c>
      <c r="K538" s="5">
        <f t="shared" si="39"/>
        <v>0.2471825316042468</v>
      </c>
      <c r="L538" s="7"/>
    </row>
    <row r="539" spans="1:12" x14ac:dyDescent="0.25">
      <c r="A539" t="s">
        <v>15</v>
      </c>
      <c r="B539">
        <v>2019</v>
      </c>
      <c r="C539">
        <v>410249333471.11694</v>
      </c>
      <c r="D539">
        <v>109819406840.96306</v>
      </c>
      <c r="E539">
        <v>5347896</v>
      </c>
      <c r="F539" s="4">
        <v>1419</v>
      </c>
      <c r="G539">
        <f t="shared" si="37"/>
        <v>7588664424</v>
      </c>
      <c r="H539">
        <f t="shared" si="38"/>
        <v>54.06080840439558</v>
      </c>
      <c r="I539">
        <f t="shared" si="36"/>
        <v>737900668170.76453</v>
      </c>
      <c r="J539" s="6">
        <v>0.12</v>
      </c>
      <c r="K539" s="5">
        <f t="shared" si="39"/>
        <v>0.2676894217274694</v>
      </c>
      <c r="L539" s="7"/>
    </row>
    <row r="540" spans="1:12" x14ac:dyDescent="0.25">
      <c r="A540" t="s">
        <v>15</v>
      </c>
      <c r="B540">
        <v>2020</v>
      </c>
      <c r="C540">
        <v>405005642244.49713</v>
      </c>
      <c r="D540">
        <v>105314167613.92989</v>
      </c>
      <c r="E540">
        <v>5379475</v>
      </c>
      <c r="F540" s="4">
        <v>1410</v>
      </c>
      <c r="G540">
        <f t="shared" si="37"/>
        <v>7585059750</v>
      </c>
      <c r="H540">
        <f t="shared" si="38"/>
        <v>53.39518152701396</v>
      </c>
      <c r="I540">
        <f t="shared" si="36"/>
        <v>754666755604.20276</v>
      </c>
      <c r="J540" s="6">
        <v>0.12</v>
      </c>
      <c r="K540" s="5">
        <f t="shared" si="39"/>
        <v>0.26003135914425846</v>
      </c>
      <c r="L540" s="7"/>
    </row>
    <row r="541" spans="1:12" x14ac:dyDescent="0.25">
      <c r="A541" t="s">
        <v>15</v>
      </c>
      <c r="B541">
        <v>2021</v>
      </c>
      <c r="C541">
        <v>420836044228.58313</v>
      </c>
      <c r="D541">
        <v>106044435258.86116</v>
      </c>
      <c r="E541">
        <v>5408320</v>
      </c>
      <c r="F541" s="4">
        <v>1426</v>
      </c>
      <c r="G541">
        <f t="shared" si="37"/>
        <v>7712264320</v>
      </c>
      <c r="H541">
        <f t="shared" si="38"/>
        <v>54.567118911788427</v>
      </c>
      <c r="I541">
        <f t="shared" si="36"/>
        <v>770151180190.55969</v>
      </c>
      <c r="J541" s="6">
        <v>0.12</v>
      </c>
      <c r="K541" s="5">
        <f t="shared" si="39"/>
        <v>0.25198515363209145</v>
      </c>
      <c r="L541" s="7"/>
    </row>
    <row r="542" spans="1:12" x14ac:dyDescent="0.25">
      <c r="A542" t="s">
        <v>15</v>
      </c>
      <c r="B542">
        <v>2022</v>
      </c>
      <c r="C542">
        <v>433484840343.08148</v>
      </c>
      <c r="D542">
        <v>111586111398.16052</v>
      </c>
      <c r="E542">
        <v>5457127</v>
      </c>
      <c r="F542" s="4">
        <v>1425</v>
      </c>
      <c r="G542">
        <f t="shared" si="37"/>
        <v>7776405975</v>
      </c>
      <c r="H542">
        <f t="shared" si="38"/>
        <v>55.743596943970182</v>
      </c>
      <c r="I542">
        <f t="shared" si="36"/>
        <v>789319149965.85303</v>
      </c>
      <c r="J542" s="6">
        <v>0.12</v>
      </c>
      <c r="K542" s="5">
        <f t="shared" si="39"/>
        <v>0.25741641001758153</v>
      </c>
      <c r="L542" s="7"/>
    </row>
    <row r="543" spans="1:12" x14ac:dyDescent="0.25">
      <c r="A543" t="s">
        <v>16</v>
      </c>
      <c r="B543">
        <v>1980</v>
      </c>
      <c r="C543">
        <v>105793721718.96828</v>
      </c>
      <c r="D543">
        <v>21971703744.278885</v>
      </c>
      <c r="E543">
        <v>9766312</v>
      </c>
      <c r="F543" s="4">
        <v>1849</v>
      </c>
      <c r="G543">
        <f t="shared" si="37"/>
        <v>18057910888</v>
      </c>
      <c r="H543">
        <f t="shared" si="38"/>
        <v>5.8585803405016934</v>
      </c>
      <c r="I543">
        <f>D543</f>
        <v>21971703744.278885</v>
      </c>
      <c r="J543" s="6">
        <v>0.12</v>
      </c>
      <c r="K543" s="5">
        <f t="shared" si="39"/>
        <v>0.20768438227974231</v>
      </c>
      <c r="L543" s="7"/>
    </row>
    <row r="544" spans="1:12" x14ac:dyDescent="0.25">
      <c r="A544" t="s">
        <v>16</v>
      </c>
      <c r="B544">
        <v>1981</v>
      </c>
      <c r="C544">
        <v>107505573624.73312</v>
      </c>
      <c r="D544">
        <v>23180903039.587868</v>
      </c>
      <c r="E544">
        <v>9851362</v>
      </c>
      <c r="F544" s="4">
        <v>1838</v>
      </c>
      <c r="G544">
        <f t="shared" si="37"/>
        <v>18106803356</v>
      </c>
      <c r="H544">
        <f t="shared" si="38"/>
        <v>5.9373027646599645</v>
      </c>
      <c r="I544">
        <f>I543-(I543*J543)+D544</f>
        <v>42516002334.553284</v>
      </c>
      <c r="J544" s="6">
        <v>0.12</v>
      </c>
      <c r="K544" s="5">
        <f t="shared" si="39"/>
        <v>0.21562512768412209</v>
      </c>
      <c r="L544" s="7"/>
    </row>
    <row r="545" spans="1:12" x14ac:dyDescent="0.25">
      <c r="A545" t="s">
        <v>16</v>
      </c>
      <c r="B545">
        <v>1982</v>
      </c>
      <c r="C545">
        <v>109801221256.69679</v>
      </c>
      <c r="D545">
        <v>23704199246.886696</v>
      </c>
      <c r="E545">
        <v>9911771</v>
      </c>
      <c r="F545" s="4">
        <v>1827</v>
      </c>
      <c r="G545">
        <f t="shared" si="37"/>
        <v>18108805617</v>
      </c>
      <c r="H545">
        <f t="shared" si="38"/>
        <v>6.0634159744703826</v>
      </c>
      <c r="I545">
        <f t="shared" ref="I545:I585" si="40">I544-(I544*J544)+D545</f>
        <v>61118281301.293587</v>
      </c>
      <c r="J545" s="6">
        <v>0.12</v>
      </c>
      <c r="K545" s="5">
        <f t="shared" si="39"/>
        <v>0.21588283787363588</v>
      </c>
      <c r="L545" s="7"/>
    </row>
    <row r="546" spans="1:12" x14ac:dyDescent="0.25">
      <c r="A546" t="s">
        <v>16</v>
      </c>
      <c r="B546">
        <v>1983</v>
      </c>
      <c r="C546">
        <v>109611140617.78781</v>
      </c>
      <c r="D546">
        <v>22013641112.51873</v>
      </c>
      <c r="E546">
        <v>9957865</v>
      </c>
      <c r="F546" s="4">
        <v>1817</v>
      </c>
      <c r="G546">
        <f t="shared" si="37"/>
        <v>18093440705</v>
      </c>
      <c r="H546">
        <f t="shared" si="38"/>
        <v>6.0580595147664491</v>
      </c>
      <c r="I546">
        <f t="shared" si="40"/>
        <v>75797728657.657089</v>
      </c>
      <c r="J546" s="6">
        <v>0.12</v>
      </c>
      <c r="K546" s="5">
        <f t="shared" si="39"/>
        <v>0.20083397534635575</v>
      </c>
      <c r="L546" s="7"/>
    </row>
    <row r="547" spans="1:12" x14ac:dyDescent="0.25">
      <c r="A547" t="s">
        <v>16</v>
      </c>
      <c r="B547">
        <v>1984</v>
      </c>
      <c r="C547">
        <v>107550473392.39095</v>
      </c>
      <c r="D547">
        <v>18186295401.866779</v>
      </c>
      <c r="E547">
        <v>9996232</v>
      </c>
      <c r="F547" s="4">
        <v>1806</v>
      </c>
      <c r="G547">
        <f t="shared" si="37"/>
        <v>18053194992</v>
      </c>
      <c r="H547">
        <f t="shared" si="38"/>
        <v>5.9574204698974507</v>
      </c>
      <c r="I547">
        <f t="shared" si="40"/>
        <v>84888296620.605011</v>
      </c>
      <c r="J547" s="6">
        <v>0.12</v>
      </c>
      <c r="K547" s="5">
        <f t="shared" si="39"/>
        <v>0.1690954472651669</v>
      </c>
      <c r="L547" s="7"/>
    </row>
    <row r="548" spans="1:12" x14ac:dyDescent="0.25">
      <c r="A548" t="s">
        <v>16</v>
      </c>
      <c r="B548">
        <v>1985</v>
      </c>
      <c r="C548">
        <v>110569888458.78314</v>
      </c>
      <c r="D548">
        <v>17541232373.847641</v>
      </c>
      <c r="E548">
        <v>10023613</v>
      </c>
      <c r="F548" s="4">
        <v>1796</v>
      </c>
      <c r="G548">
        <f t="shared" si="37"/>
        <v>18002408948</v>
      </c>
      <c r="H548">
        <f t="shared" si="38"/>
        <v>6.1419496011986245</v>
      </c>
      <c r="I548">
        <f t="shared" si="40"/>
        <v>92242933399.980057</v>
      </c>
      <c r="J548" s="6">
        <v>0.12</v>
      </c>
      <c r="K548" s="5">
        <f t="shared" si="39"/>
        <v>0.15864384615334437</v>
      </c>
      <c r="L548" s="7"/>
    </row>
    <row r="549" spans="1:12" x14ac:dyDescent="0.25">
      <c r="A549" t="s">
        <v>16</v>
      </c>
      <c r="B549">
        <v>1986</v>
      </c>
      <c r="C549">
        <v>115148538604.29604</v>
      </c>
      <c r="D549">
        <v>19448098922.346077</v>
      </c>
      <c r="E549">
        <v>10032734</v>
      </c>
      <c r="F549" s="4">
        <v>1785</v>
      </c>
      <c r="G549">
        <f t="shared" si="37"/>
        <v>17908430190</v>
      </c>
      <c r="H549">
        <f t="shared" si="38"/>
        <v>6.4298510468323764</v>
      </c>
      <c r="I549">
        <f t="shared" si="40"/>
        <v>100621880314.32852</v>
      </c>
      <c r="J549" s="6">
        <v>0.12</v>
      </c>
      <c r="K549" s="5">
        <f t="shared" si="39"/>
        <v>0.16889575115823915</v>
      </c>
      <c r="L549" s="7"/>
    </row>
    <row r="550" spans="1:12" x14ac:dyDescent="0.25">
      <c r="A550" t="s">
        <v>16</v>
      </c>
      <c r="B550">
        <v>1987</v>
      </c>
      <c r="C550">
        <v>122496620576.32729</v>
      </c>
      <c r="D550">
        <v>22948221543.73045</v>
      </c>
      <c r="E550">
        <v>10030031</v>
      </c>
      <c r="F550" s="4">
        <v>1799</v>
      </c>
      <c r="G550">
        <f t="shared" si="37"/>
        <v>18044025769</v>
      </c>
      <c r="H550">
        <f t="shared" si="38"/>
        <v>6.7887633361053465</v>
      </c>
      <c r="I550">
        <f t="shared" si="40"/>
        <v>111495476220.33955</v>
      </c>
      <c r="J550" s="6">
        <v>0.12</v>
      </c>
      <c r="K550" s="5">
        <f t="shared" si="39"/>
        <v>0.18733758887194346</v>
      </c>
      <c r="L550" s="7"/>
    </row>
    <row r="551" spans="1:12" x14ac:dyDescent="0.25">
      <c r="A551" t="s">
        <v>16</v>
      </c>
      <c r="B551">
        <v>1988</v>
      </c>
      <c r="C551">
        <v>131670524727.76126</v>
      </c>
      <c r="D551">
        <v>26352046212.798805</v>
      </c>
      <c r="E551">
        <v>10019610</v>
      </c>
      <c r="F551" s="4">
        <v>1798</v>
      </c>
      <c r="G551">
        <f t="shared" si="37"/>
        <v>18015258780</v>
      </c>
      <c r="H551">
        <f t="shared" si="38"/>
        <v>7.3088333803973953</v>
      </c>
      <c r="I551">
        <f t="shared" si="40"/>
        <v>124468065286.6976</v>
      </c>
      <c r="J551" s="6">
        <v>0.12</v>
      </c>
      <c r="K551" s="5">
        <f t="shared" si="39"/>
        <v>0.20013625879659588</v>
      </c>
      <c r="L551" s="7"/>
    </row>
    <row r="552" spans="1:12" x14ac:dyDescent="0.25">
      <c r="A552" t="s">
        <v>16</v>
      </c>
      <c r="B552">
        <v>1989</v>
      </c>
      <c r="C552">
        <v>140150947818.14212</v>
      </c>
      <c r="D552">
        <v>27315817928.162868</v>
      </c>
      <c r="E552">
        <v>10005000</v>
      </c>
      <c r="F552" s="4">
        <v>1818</v>
      </c>
      <c r="G552">
        <f t="shared" si="37"/>
        <v>18189090000</v>
      </c>
      <c r="H552">
        <f t="shared" si="38"/>
        <v>7.7052204270880029</v>
      </c>
      <c r="I552">
        <f t="shared" si="40"/>
        <v>136847715380.45676</v>
      </c>
      <c r="J552" s="6">
        <v>0.12</v>
      </c>
      <c r="K552" s="5">
        <f t="shared" si="39"/>
        <v>0.19490284121094553</v>
      </c>
      <c r="L552" s="7"/>
    </row>
    <row r="553" spans="1:12" x14ac:dyDescent="0.25">
      <c r="A553" t="s">
        <v>16</v>
      </c>
      <c r="B553">
        <v>1990</v>
      </c>
      <c r="C553">
        <v>145687643482.99057</v>
      </c>
      <c r="D553">
        <v>29393780240.498802</v>
      </c>
      <c r="E553">
        <v>9983218</v>
      </c>
      <c r="F553" s="4">
        <v>1806</v>
      </c>
      <c r="G553">
        <f t="shared" si="37"/>
        <v>18029691708</v>
      </c>
      <c r="H553">
        <f t="shared" si="38"/>
        <v>8.0804289858349119</v>
      </c>
      <c r="I553">
        <f t="shared" si="40"/>
        <v>149819769775.30075</v>
      </c>
      <c r="J553" s="6">
        <v>0.12</v>
      </c>
      <c r="K553" s="5">
        <f t="shared" si="39"/>
        <v>0.20175891062395149</v>
      </c>
      <c r="L553" s="7"/>
    </row>
    <row r="554" spans="1:12" x14ac:dyDescent="0.25">
      <c r="A554" t="s">
        <v>16</v>
      </c>
      <c r="B554">
        <v>1991</v>
      </c>
      <c r="C554">
        <v>152051580863.96005</v>
      </c>
      <c r="D554">
        <v>30372098779.371849</v>
      </c>
      <c r="E554">
        <v>9960235</v>
      </c>
      <c r="F554" s="4">
        <v>1739</v>
      </c>
      <c r="G554">
        <f t="shared" si="37"/>
        <v>17320848665</v>
      </c>
      <c r="H554">
        <f t="shared" si="38"/>
        <v>8.7785294938352862</v>
      </c>
      <c r="I554">
        <f t="shared" si="40"/>
        <v>162213496181.63651</v>
      </c>
      <c r="J554" s="6">
        <v>0.12</v>
      </c>
      <c r="K554" s="5">
        <f t="shared" si="39"/>
        <v>0.19974865507347567</v>
      </c>
      <c r="L554" s="7"/>
    </row>
    <row r="555" spans="1:12" x14ac:dyDescent="0.25">
      <c r="A555" t="s">
        <v>16</v>
      </c>
      <c r="B555">
        <v>1992</v>
      </c>
      <c r="C555">
        <v>153708146851.89795</v>
      </c>
      <c r="D555">
        <v>31746086257.73513</v>
      </c>
      <c r="E555">
        <v>9952494</v>
      </c>
      <c r="F555" s="4">
        <v>1682</v>
      </c>
      <c r="G555">
        <f t="shared" si="37"/>
        <v>16740094908</v>
      </c>
      <c r="H555">
        <f t="shared" si="38"/>
        <v>9.1820355676981062</v>
      </c>
      <c r="I555">
        <f t="shared" si="40"/>
        <v>174493962897.57526</v>
      </c>
      <c r="J555" s="6">
        <v>0.12</v>
      </c>
      <c r="K555" s="5">
        <f t="shared" si="39"/>
        <v>0.20653483180903456</v>
      </c>
      <c r="L555" s="7"/>
    </row>
    <row r="556" spans="1:12" x14ac:dyDescent="0.25">
      <c r="A556" t="s">
        <v>16</v>
      </c>
      <c r="B556">
        <v>1993</v>
      </c>
      <c r="C556">
        <v>150567463136.07333</v>
      </c>
      <c r="D556">
        <v>29986397703.69099</v>
      </c>
      <c r="E556">
        <v>9964675</v>
      </c>
      <c r="F556" s="4">
        <v>1684</v>
      </c>
      <c r="G556">
        <f t="shared" si="37"/>
        <v>16780512700</v>
      </c>
      <c r="H556">
        <f t="shared" si="38"/>
        <v>8.9727570204737148</v>
      </c>
      <c r="I556">
        <f t="shared" si="40"/>
        <v>183541085053.55719</v>
      </c>
      <c r="J556" s="6">
        <v>0.12</v>
      </c>
      <c r="K556" s="5">
        <f t="shared" si="39"/>
        <v>0.19915589383737697</v>
      </c>
      <c r="L556" s="7"/>
    </row>
    <row r="557" spans="1:12" x14ac:dyDescent="0.25">
      <c r="A557" t="s">
        <v>16</v>
      </c>
      <c r="B557">
        <v>1994</v>
      </c>
      <c r="C557">
        <v>152020196072.82294</v>
      </c>
      <c r="D557">
        <v>30802758426.893723</v>
      </c>
      <c r="E557">
        <v>9991525</v>
      </c>
      <c r="F557" s="4">
        <v>1692</v>
      </c>
      <c r="G557">
        <f t="shared" si="37"/>
        <v>16905660300</v>
      </c>
      <c r="H557">
        <f t="shared" si="38"/>
        <v>8.9922661034909677</v>
      </c>
      <c r="I557">
        <f t="shared" si="40"/>
        <v>192318913274.02405</v>
      </c>
      <c r="J557" s="6">
        <v>0.12</v>
      </c>
      <c r="K557" s="5">
        <f t="shared" si="39"/>
        <v>0.20262280422357917</v>
      </c>
      <c r="L557" s="7"/>
    </row>
    <row r="558" spans="1:12" x14ac:dyDescent="0.25">
      <c r="A558" t="s">
        <v>16</v>
      </c>
      <c r="B558">
        <v>1995</v>
      </c>
      <c r="C558">
        <v>158530887614.32254</v>
      </c>
      <c r="D558">
        <v>32820598454.712471</v>
      </c>
      <c r="E558">
        <v>10026176</v>
      </c>
      <c r="F558" s="4">
        <v>1749</v>
      </c>
      <c r="G558">
        <f t="shared" si="37"/>
        <v>17535781824</v>
      </c>
      <c r="H558">
        <f t="shared" si="38"/>
        <v>9.0404231305702254</v>
      </c>
      <c r="I558">
        <f t="shared" si="40"/>
        <v>202061242135.85364</v>
      </c>
      <c r="J558" s="6">
        <v>0.12</v>
      </c>
      <c r="K558" s="5">
        <f t="shared" si="39"/>
        <v>0.20702967698357402</v>
      </c>
      <c r="L558" s="7"/>
    </row>
    <row r="559" spans="1:12" x14ac:dyDescent="0.25">
      <c r="A559" t="s">
        <v>16</v>
      </c>
      <c r="B559">
        <v>1996</v>
      </c>
      <c r="C559">
        <v>164086378427.53818</v>
      </c>
      <c r="D559">
        <v>34523216994.20153</v>
      </c>
      <c r="E559">
        <v>10063945</v>
      </c>
      <c r="F559" s="4">
        <v>1750</v>
      </c>
      <c r="G559">
        <f t="shared" si="37"/>
        <v>17611903750</v>
      </c>
      <c r="H559">
        <f t="shared" si="38"/>
        <v>9.3167882789240313</v>
      </c>
      <c r="I559">
        <f t="shared" si="40"/>
        <v>212337110073.75275</v>
      </c>
      <c r="J559" s="6">
        <v>0.12</v>
      </c>
      <c r="K559" s="5">
        <f t="shared" si="39"/>
        <v>0.21039660528218224</v>
      </c>
      <c r="L559" s="7"/>
    </row>
    <row r="560" spans="1:12" x14ac:dyDescent="0.25">
      <c r="A560" t="s">
        <v>16</v>
      </c>
      <c r="B560">
        <v>1997</v>
      </c>
      <c r="C560">
        <v>171307602024.19403</v>
      </c>
      <c r="D560">
        <v>39412478601.983559</v>
      </c>
      <c r="E560">
        <v>10108977</v>
      </c>
      <c r="F560" s="4">
        <v>1746</v>
      </c>
      <c r="G560">
        <f t="shared" si="37"/>
        <v>17650273842</v>
      </c>
      <c r="H560">
        <f t="shared" si="38"/>
        <v>9.7056625612547833</v>
      </c>
      <c r="I560">
        <f t="shared" si="40"/>
        <v>226269135466.88596</v>
      </c>
      <c r="J560" s="6">
        <v>0.12</v>
      </c>
      <c r="K560" s="5">
        <f t="shared" si="39"/>
        <v>0.23006847411486897</v>
      </c>
      <c r="L560" s="7"/>
    </row>
    <row r="561" spans="1:12" x14ac:dyDescent="0.25">
      <c r="A561" t="s">
        <v>16</v>
      </c>
      <c r="B561">
        <v>1998</v>
      </c>
      <c r="C561">
        <v>179544008835.02682</v>
      </c>
      <c r="D561">
        <v>44037307783.517151</v>
      </c>
      <c r="E561">
        <v>10160196</v>
      </c>
      <c r="F561" s="4">
        <v>1760</v>
      </c>
      <c r="G561">
        <f t="shared" si="37"/>
        <v>17881944960</v>
      </c>
      <c r="H561">
        <f t="shared" si="38"/>
        <v>10.040519039547856</v>
      </c>
      <c r="I561">
        <f t="shared" si="40"/>
        <v>243154146994.3768</v>
      </c>
      <c r="J561" s="6">
        <v>0.12</v>
      </c>
      <c r="K561" s="5">
        <f t="shared" si="39"/>
        <v>0.24527305627881255</v>
      </c>
      <c r="L561" s="7"/>
    </row>
    <row r="562" spans="1:12" x14ac:dyDescent="0.25">
      <c r="A562" t="s">
        <v>16</v>
      </c>
      <c r="B562">
        <v>1999</v>
      </c>
      <c r="C562">
        <v>186558034227.89716</v>
      </c>
      <c r="D562">
        <v>46710146527.290581</v>
      </c>
      <c r="E562">
        <v>10217828</v>
      </c>
      <c r="F562" s="4">
        <v>1762</v>
      </c>
      <c r="G562">
        <f t="shared" si="37"/>
        <v>18003812936</v>
      </c>
      <c r="H562">
        <f t="shared" si="38"/>
        <v>10.362140225022006</v>
      </c>
      <c r="I562">
        <f t="shared" si="40"/>
        <v>260685795882.34216</v>
      </c>
      <c r="J562" s="6">
        <v>0.12</v>
      </c>
      <c r="K562" s="5">
        <f t="shared" si="39"/>
        <v>0.25037863805013083</v>
      </c>
      <c r="L562" s="7"/>
    </row>
    <row r="563" spans="1:12" x14ac:dyDescent="0.25">
      <c r="A563" t="s">
        <v>16</v>
      </c>
      <c r="B563">
        <v>2000</v>
      </c>
      <c r="C563">
        <v>193677420074.37408</v>
      </c>
      <c r="D563">
        <v>48605362080.924568</v>
      </c>
      <c r="E563">
        <v>10289898</v>
      </c>
      <c r="F563" s="4">
        <v>1770</v>
      </c>
      <c r="G563">
        <f t="shared" si="37"/>
        <v>18213119460</v>
      </c>
      <c r="H563">
        <f t="shared" si="38"/>
        <v>10.633951009860343</v>
      </c>
      <c r="I563">
        <f t="shared" si="40"/>
        <v>278008862457.38568</v>
      </c>
      <c r="J563" s="6">
        <v>0.12</v>
      </c>
      <c r="K563" s="5">
        <f t="shared" si="39"/>
        <v>0.2509603962209927</v>
      </c>
      <c r="L563" s="7"/>
    </row>
    <row r="564" spans="1:12" x14ac:dyDescent="0.25">
      <c r="A564" t="s">
        <v>16</v>
      </c>
      <c r="B564">
        <v>2001</v>
      </c>
      <c r="C564">
        <v>197441874156.33386</v>
      </c>
      <c r="D564">
        <v>49078053405.28199</v>
      </c>
      <c r="E564">
        <v>10362722</v>
      </c>
      <c r="F564" s="4">
        <v>1755</v>
      </c>
      <c r="G564">
        <f t="shared" si="37"/>
        <v>18186577110</v>
      </c>
      <c r="H564">
        <f t="shared" si="38"/>
        <v>10.856461496966862</v>
      </c>
      <c r="I564">
        <f t="shared" si="40"/>
        <v>293725852367.78137</v>
      </c>
      <c r="J564" s="6">
        <v>0.12</v>
      </c>
      <c r="K564" s="5">
        <f t="shared" si="39"/>
        <v>0.24856962898570412</v>
      </c>
      <c r="L564" s="7"/>
    </row>
    <row r="565" spans="1:12" x14ac:dyDescent="0.25">
      <c r="A565" t="s">
        <v>16</v>
      </c>
      <c r="B565">
        <v>2002</v>
      </c>
      <c r="C565">
        <v>198964002686.34048</v>
      </c>
      <c r="D565">
        <v>47413379097.139412</v>
      </c>
      <c r="E565">
        <v>10419631</v>
      </c>
      <c r="F565" s="4">
        <v>1749</v>
      </c>
      <c r="G565">
        <f t="shared" si="37"/>
        <v>18223934619</v>
      </c>
      <c r="H565">
        <f t="shared" si="38"/>
        <v>10.917730273181709</v>
      </c>
      <c r="I565">
        <f t="shared" si="40"/>
        <v>305892129180.78705</v>
      </c>
      <c r="J565" s="6">
        <v>0.12</v>
      </c>
      <c r="K565" s="5">
        <f t="shared" si="39"/>
        <v>0.23830129298255465</v>
      </c>
      <c r="L565" s="7"/>
    </row>
    <row r="566" spans="1:12" x14ac:dyDescent="0.25">
      <c r="A566" t="s">
        <v>16</v>
      </c>
      <c r="B566">
        <v>2003</v>
      </c>
      <c r="C566">
        <v>197112600687.24438</v>
      </c>
      <c r="D566">
        <v>43945618747.748795</v>
      </c>
      <c r="E566">
        <v>10458821</v>
      </c>
      <c r="F566" s="4">
        <v>1742</v>
      </c>
      <c r="G566">
        <f t="shared" si="37"/>
        <v>18219266182</v>
      </c>
      <c r="H566">
        <f t="shared" si="38"/>
        <v>10.818909977943282</v>
      </c>
      <c r="I566">
        <f t="shared" si="40"/>
        <v>313130692426.84137</v>
      </c>
      <c r="J566" s="6">
        <v>0.12</v>
      </c>
      <c r="K566" s="5">
        <f t="shared" si="39"/>
        <v>0.22294677557157622</v>
      </c>
      <c r="L566" s="7"/>
    </row>
    <row r="567" spans="1:12" x14ac:dyDescent="0.25">
      <c r="A567" t="s">
        <v>16</v>
      </c>
      <c r="B567">
        <v>2004</v>
      </c>
      <c r="C567">
        <v>200638424065.2272</v>
      </c>
      <c r="D567">
        <v>44028603654.890205</v>
      </c>
      <c r="E567">
        <v>10483861</v>
      </c>
      <c r="F567" s="4">
        <v>1748</v>
      </c>
      <c r="G567">
        <f t="shared" si="37"/>
        <v>18325789028</v>
      </c>
      <c r="H567">
        <f t="shared" si="38"/>
        <v>10.948419397313341</v>
      </c>
      <c r="I567">
        <f t="shared" si="40"/>
        <v>319583612990.51062</v>
      </c>
      <c r="J567" s="6">
        <v>0.12</v>
      </c>
      <c r="K567" s="5">
        <f t="shared" si="39"/>
        <v>0.21944253130983815</v>
      </c>
      <c r="L567" s="7"/>
    </row>
    <row r="568" spans="1:12" x14ac:dyDescent="0.25">
      <c r="A568" t="s">
        <v>16</v>
      </c>
      <c r="B568">
        <v>2005</v>
      </c>
      <c r="C568">
        <v>202207111084.66315</v>
      </c>
      <c r="D568">
        <v>44077109339.442551</v>
      </c>
      <c r="E568">
        <v>10503330</v>
      </c>
      <c r="F568" s="4">
        <v>1750</v>
      </c>
      <c r="G568">
        <f t="shared" si="37"/>
        <v>18380827500</v>
      </c>
      <c r="H568">
        <f t="shared" si="38"/>
        <v>11.000979748309108</v>
      </c>
      <c r="I568">
        <f t="shared" si="40"/>
        <v>325310688771.09192</v>
      </c>
      <c r="J568" s="6">
        <v>0.12</v>
      </c>
      <c r="K568" s="5">
        <f t="shared" si="39"/>
        <v>0.21798001614783802</v>
      </c>
      <c r="L568" s="7"/>
    </row>
    <row r="569" spans="1:12" x14ac:dyDescent="0.25">
      <c r="A569" t="s">
        <v>16</v>
      </c>
      <c r="B569">
        <v>2006</v>
      </c>
      <c r="C569">
        <v>205493046680.56393</v>
      </c>
      <c r="D569">
        <v>43743542055.466377</v>
      </c>
      <c r="E569">
        <v>10522288</v>
      </c>
      <c r="F569" s="4">
        <v>1739</v>
      </c>
      <c r="G569">
        <f t="shared" si="37"/>
        <v>18298258832</v>
      </c>
      <c r="H569">
        <f t="shared" si="38"/>
        <v>11.230196739877657</v>
      </c>
      <c r="I569">
        <f t="shared" si="40"/>
        <v>330016948174.02728</v>
      </c>
      <c r="J569" s="6">
        <v>0.12</v>
      </c>
      <c r="K569" s="5">
        <f t="shared" si="39"/>
        <v>0.21287115433869205</v>
      </c>
      <c r="L569" s="7"/>
    </row>
    <row r="570" spans="1:12" x14ac:dyDescent="0.25">
      <c r="A570" t="s">
        <v>16</v>
      </c>
      <c r="B570">
        <v>2007</v>
      </c>
      <c r="C570">
        <v>210643893704.51706</v>
      </c>
      <c r="D570">
        <v>45093564055.392159</v>
      </c>
      <c r="E570">
        <v>10542964</v>
      </c>
      <c r="F570" s="4">
        <v>1755</v>
      </c>
      <c r="G570">
        <f t="shared" si="37"/>
        <v>18502901820</v>
      </c>
      <c r="H570">
        <f t="shared" si="38"/>
        <v>11.384370719452754</v>
      </c>
      <c r="I570">
        <f t="shared" si="40"/>
        <v>335508478448.53619</v>
      </c>
      <c r="J570" s="6">
        <v>0.12</v>
      </c>
      <c r="K570" s="5">
        <f t="shared" si="39"/>
        <v>0.21407486949822352</v>
      </c>
      <c r="L570" s="7"/>
    </row>
    <row r="571" spans="1:12" x14ac:dyDescent="0.25">
      <c r="A571" t="s">
        <v>16</v>
      </c>
      <c r="B571">
        <v>2008</v>
      </c>
      <c r="C571">
        <v>211316368358.01199</v>
      </c>
      <c r="D571">
        <v>45284531195.100754</v>
      </c>
      <c r="E571">
        <v>10558177</v>
      </c>
      <c r="F571" s="4">
        <v>1743</v>
      </c>
      <c r="G571">
        <f t="shared" si="37"/>
        <v>18402902511</v>
      </c>
      <c r="H571">
        <f t="shared" si="38"/>
        <v>11.482773884809827</v>
      </c>
      <c r="I571">
        <f t="shared" si="40"/>
        <v>340531992229.81262</v>
      </c>
      <c r="J571" s="6">
        <v>0.12</v>
      </c>
      <c r="K571" s="5">
        <f t="shared" si="39"/>
        <v>0.21429731897710708</v>
      </c>
      <c r="L571" s="7"/>
    </row>
    <row r="572" spans="1:12" x14ac:dyDescent="0.25">
      <c r="A572" t="s">
        <v>16</v>
      </c>
      <c r="B572">
        <v>2009</v>
      </c>
      <c r="C572">
        <v>204718906251.38815</v>
      </c>
      <c r="D572">
        <v>41870849613.512085</v>
      </c>
      <c r="E572">
        <v>10568247</v>
      </c>
      <c r="F572" s="4">
        <v>1743</v>
      </c>
      <c r="G572">
        <f t="shared" si="37"/>
        <v>18420454521</v>
      </c>
      <c r="H572">
        <f t="shared" si="38"/>
        <v>11.113672901936324</v>
      </c>
      <c r="I572">
        <f t="shared" si="40"/>
        <v>341539002775.74719</v>
      </c>
      <c r="J572" s="6">
        <v>0.12</v>
      </c>
      <c r="K572" s="5">
        <f t="shared" si="39"/>
        <v>0.20452849412010851</v>
      </c>
      <c r="L572" s="7"/>
    </row>
    <row r="573" spans="1:12" x14ac:dyDescent="0.25">
      <c r="A573" t="s">
        <v>16</v>
      </c>
      <c r="B573">
        <v>2010</v>
      </c>
      <c r="C573">
        <v>208276152143.94635</v>
      </c>
      <c r="D573">
        <v>41399582903.70623</v>
      </c>
      <c r="E573">
        <v>10573100</v>
      </c>
      <c r="F573" s="4">
        <v>1746</v>
      </c>
      <c r="G573">
        <f t="shared" si="37"/>
        <v>18460632600</v>
      </c>
      <c r="H573">
        <f t="shared" si="38"/>
        <v>11.282178496090451</v>
      </c>
      <c r="I573">
        <f t="shared" si="40"/>
        <v>341953905346.36377</v>
      </c>
      <c r="J573" s="6">
        <v>0.12</v>
      </c>
      <c r="K573" s="5">
        <f t="shared" si="39"/>
        <v>0.19877255498312474</v>
      </c>
      <c r="L573" s="7"/>
    </row>
    <row r="574" spans="1:12" x14ac:dyDescent="0.25">
      <c r="A574" t="s">
        <v>16</v>
      </c>
      <c r="B574">
        <v>2011</v>
      </c>
      <c r="C574">
        <v>204707282994.34598</v>
      </c>
      <c r="D574">
        <v>36206893929.621857</v>
      </c>
      <c r="E574">
        <v>10557560</v>
      </c>
      <c r="F574" s="4">
        <v>1724</v>
      </c>
      <c r="G574">
        <f t="shared" si="37"/>
        <v>18201233440</v>
      </c>
      <c r="H574">
        <f t="shared" si="38"/>
        <v>11.246890693927938</v>
      </c>
      <c r="I574">
        <f t="shared" si="40"/>
        <v>337126330634.422</v>
      </c>
      <c r="J574" s="6">
        <v>0.12</v>
      </c>
      <c r="K574" s="5">
        <f t="shared" si="39"/>
        <v>0.17687154750923978</v>
      </c>
      <c r="L574" s="7"/>
    </row>
    <row r="575" spans="1:12" x14ac:dyDescent="0.25">
      <c r="A575" t="s">
        <v>16</v>
      </c>
      <c r="B575">
        <v>2012</v>
      </c>
      <c r="C575">
        <v>196414790306.89206</v>
      </c>
      <c r="D575">
        <v>30165818142.746861</v>
      </c>
      <c r="E575">
        <v>10514844</v>
      </c>
      <c r="F575" s="4">
        <v>1708</v>
      </c>
      <c r="G575">
        <f t="shared" si="37"/>
        <v>17959353552</v>
      </c>
      <c r="H575">
        <f t="shared" si="38"/>
        <v>10.936629190922009</v>
      </c>
      <c r="I575">
        <f t="shared" si="40"/>
        <v>326836989101.03827</v>
      </c>
      <c r="J575" s="6">
        <v>0.12</v>
      </c>
      <c r="K575" s="5">
        <f t="shared" si="39"/>
        <v>0.15358221290572721</v>
      </c>
      <c r="L575" s="7"/>
    </row>
    <row r="576" spans="1:12" x14ac:dyDescent="0.25">
      <c r="A576" t="s">
        <v>16</v>
      </c>
      <c r="B576">
        <v>2013</v>
      </c>
      <c r="C576">
        <v>194481859081.56705</v>
      </c>
      <c r="D576">
        <v>28755848051.827721</v>
      </c>
      <c r="E576">
        <v>10457295</v>
      </c>
      <c r="F576" s="4">
        <v>1718</v>
      </c>
      <c r="G576">
        <f t="shared" si="37"/>
        <v>17965632810</v>
      </c>
      <c r="H576">
        <f t="shared" si="38"/>
        <v>10.825216185722937</v>
      </c>
      <c r="I576">
        <f t="shared" si="40"/>
        <v>316372398460.74139</v>
      </c>
      <c r="J576" s="6">
        <v>0.12</v>
      </c>
      <c r="K576" s="5">
        <f t="shared" si="39"/>
        <v>0.14785876784408625</v>
      </c>
      <c r="L576" s="7"/>
    </row>
    <row r="577" spans="1:12" x14ac:dyDescent="0.25">
      <c r="A577" t="s">
        <v>16</v>
      </c>
      <c r="B577">
        <v>2014</v>
      </c>
      <c r="C577">
        <v>195923730996.63034</v>
      </c>
      <c r="D577">
        <v>29391436949.273811</v>
      </c>
      <c r="E577">
        <v>10401062</v>
      </c>
      <c r="F577" s="4">
        <v>1725</v>
      </c>
      <c r="G577">
        <f t="shared" si="37"/>
        <v>17941831950</v>
      </c>
      <c r="H577">
        <f t="shared" si="38"/>
        <v>10.919940145612072</v>
      </c>
      <c r="I577">
        <f t="shared" si="40"/>
        <v>307799147594.72626</v>
      </c>
      <c r="J577" s="6">
        <v>0.12</v>
      </c>
      <c r="K577" s="5">
        <f t="shared" si="39"/>
        <v>0.15001468581557029</v>
      </c>
      <c r="L577" s="7"/>
    </row>
    <row r="578" spans="1:12" x14ac:dyDescent="0.25">
      <c r="A578" t="s">
        <v>16</v>
      </c>
      <c r="B578">
        <v>2015</v>
      </c>
      <c r="C578">
        <v>199038523119.63934</v>
      </c>
      <c r="D578">
        <v>31157636124.96014</v>
      </c>
      <c r="E578">
        <v>10358076</v>
      </c>
      <c r="F578" s="4">
        <v>1732</v>
      </c>
      <c r="G578">
        <f t="shared" si="37"/>
        <v>17940187632</v>
      </c>
      <c r="H578">
        <f t="shared" si="38"/>
        <v>11.094561952329492</v>
      </c>
      <c r="I578">
        <f t="shared" si="40"/>
        <v>302020886008.31921</v>
      </c>
      <c r="J578" s="6">
        <v>0.12</v>
      </c>
      <c r="K578" s="5">
        <f t="shared" si="39"/>
        <v>0.15654073209853808</v>
      </c>
      <c r="L578" s="7"/>
    </row>
    <row r="579" spans="1:12" x14ac:dyDescent="0.25">
      <c r="A579" t="s">
        <v>16</v>
      </c>
      <c r="B579">
        <v>2016</v>
      </c>
      <c r="C579">
        <v>203027535953.58426</v>
      </c>
      <c r="D579">
        <v>31993504303.805843</v>
      </c>
      <c r="E579">
        <v>10325452</v>
      </c>
      <c r="F579" s="4">
        <v>1737</v>
      </c>
      <c r="G579">
        <f t="shared" ref="G579:G642" si="41">E579*F579</f>
        <v>17935310124</v>
      </c>
      <c r="H579">
        <f t="shared" ref="H579:H642" si="42">C579/G579</f>
        <v>11.319990262220474</v>
      </c>
      <c r="I579">
        <f t="shared" si="40"/>
        <v>297771883991.12677</v>
      </c>
      <c r="J579" s="6">
        <v>0.12</v>
      </c>
      <c r="K579" s="5">
        <f t="shared" ref="K579:K642" si="43">D579/C579</f>
        <v>0.15758209423927666</v>
      </c>
      <c r="L579" s="7"/>
    </row>
    <row r="580" spans="1:12" x14ac:dyDescent="0.25">
      <c r="A580" t="s">
        <v>16</v>
      </c>
      <c r="B580">
        <v>2017</v>
      </c>
      <c r="C580">
        <v>209757331881.6987</v>
      </c>
      <c r="D580">
        <v>35689877565.283966</v>
      </c>
      <c r="E580">
        <v>10300300</v>
      </c>
      <c r="F580" s="4">
        <v>1727</v>
      </c>
      <c r="G580">
        <f t="shared" si="41"/>
        <v>17788618100</v>
      </c>
      <c r="H580">
        <f t="shared" si="42"/>
        <v>11.791659740095197</v>
      </c>
      <c r="I580">
        <f t="shared" si="40"/>
        <v>297729135477.47552</v>
      </c>
      <c r="J580" s="6">
        <v>0.12</v>
      </c>
      <c r="K580" s="5">
        <f t="shared" si="43"/>
        <v>0.17014841505236511</v>
      </c>
      <c r="L580" s="7"/>
    </row>
    <row r="581" spans="1:12" x14ac:dyDescent="0.25">
      <c r="A581" t="s">
        <v>16</v>
      </c>
      <c r="B581">
        <v>2018</v>
      </c>
      <c r="C581">
        <v>215937375267.63736</v>
      </c>
      <c r="D581">
        <v>37888935443.041382</v>
      </c>
      <c r="E581">
        <v>10283822</v>
      </c>
      <c r="F581" s="4">
        <v>1738</v>
      </c>
      <c r="G581">
        <f t="shared" si="41"/>
        <v>17873282636</v>
      </c>
      <c r="H581">
        <f t="shared" si="42"/>
        <v>12.081573355344402</v>
      </c>
      <c r="I581">
        <f t="shared" si="40"/>
        <v>299890574663.21985</v>
      </c>
      <c r="J581" s="6">
        <v>0.12</v>
      </c>
      <c r="K581" s="5">
        <f t="shared" si="43"/>
        <v>0.175462609916792</v>
      </c>
      <c r="L581" s="7"/>
    </row>
    <row r="582" spans="1:12" x14ac:dyDescent="0.25">
      <c r="A582" t="s">
        <v>16</v>
      </c>
      <c r="B582">
        <v>2019</v>
      </c>
      <c r="C582">
        <v>221866334776.91467</v>
      </c>
      <c r="D582">
        <v>39981626539.000366</v>
      </c>
      <c r="E582">
        <v>10286263</v>
      </c>
      <c r="F582" s="4">
        <v>1744</v>
      </c>
      <c r="G582">
        <f t="shared" si="41"/>
        <v>17939242672</v>
      </c>
      <c r="H582">
        <f t="shared" si="42"/>
        <v>12.367653352680767</v>
      </c>
      <c r="I582">
        <f t="shared" si="40"/>
        <v>303885332242.63385</v>
      </c>
      <c r="J582" s="6">
        <v>0.12</v>
      </c>
      <c r="K582" s="5">
        <f t="shared" si="43"/>
        <v>0.18020591803259228</v>
      </c>
      <c r="L582" s="7"/>
    </row>
    <row r="583" spans="1:12" x14ac:dyDescent="0.25">
      <c r="A583" t="s">
        <v>16</v>
      </c>
      <c r="B583">
        <v>2020</v>
      </c>
      <c r="C583">
        <v>203663018337.79282</v>
      </c>
      <c r="D583">
        <v>39045284201.318336</v>
      </c>
      <c r="E583">
        <v>10297081</v>
      </c>
      <c r="F583" s="4">
        <v>1611</v>
      </c>
      <c r="G583">
        <f t="shared" si="41"/>
        <v>16588597491</v>
      </c>
      <c r="H583">
        <f t="shared" si="42"/>
        <v>12.27728977379121</v>
      </c>
      <c r="I583">
        <f t="shared" si="40"/>
        <v>306464376574.83612</v>
      </c>
      <c r="J583" s="6">
        <v>0.12</v>
      </c>
      <c r="K583" s="5">
        <f t="shared" si="43"/>
        <v>0.19171514062783032</v>
      </c>
      <c r="L583" s="7"/>
    </row>
    <row r="584" spans="1:12" x14ac:dyDescent="0.25">
      <c r="A584" t="s">
        <v>16</v>
      </c>
      <c r="B584">
        <v>2021</v>
      </c>
      <c r="C584">
        <v>214984151691.32443</v>
      </c>
      <c r="D584">
        <v>42086664294.406219</v>
      </c>
      <c r="E584">
        <v>10361831</v>
      </c>
      <c r="F584" s="4">
        <v>1649</v>
      </c>
      <c r="G584">
        <f t="shared" si="41"/>
        <v>17086659319</v>
      </c>
      <c r="H584">
        <f t="shared" si="42"/>
        <v>12.581988537236571</v>
      </c>
      <c r="I584">
        <f t="shared" si="40"/>
        <v>311775315680.26196</v>
      </c>
      <c r="J584" s="6">
        <v>0.12</v>
      </c>
      <c r="K584" s="5">
        <f t="shared" si="43"/>
        <v>0.19576635748868834</v>
      </c>
      <c r="L584" s="7"/>
    </row>
    <row r="585" spans="1:12" x14ac:dyDescent="0.25">
      <c r="A585" t="s">
        <v>16</v>
      </c>
      <c r="B585">
        <v>2022</v>
      </c>
      <c r="C585">
        <v>230002604720.8299</v>
      </c>
      <c r="D585">
        <v>43490893765.629265</v>
      </c>
      <c r="E585">
        <v>10434332</v>
      </c>
      <c r="F585" s="4">
        <v>1635</v>
      </c>
      <c r="G585">
        <f t="shared" si="41"/>
        <v>17060132820</v>
      </c>
      <c r="H585">
        <f t="shared" si="42"/>
        <v>13.481876556740072</v>
      </c>
      <c r="I585">
        <f t="shared" si="40"/>
        <v>317853171564.25977</v>
      </c>
      <c r="J585" s="6">
        <v>0.12</v>
      </c>
      <c r="K585" s="5">
        <f t="shared" si="43"/>
        <v>0.18908870105369971</v>
      </c>
      <c r="L585" s="7"/>
    </row>
    <row r="586" spans="1:12" x14ac:dyDescent="0.25">
      <c r="A586" t="s">
        <v>17</v>
      </c>
      <c r="B586">
        <v>1980</v>
      </c>
      <c r="C586">
        <v>558108730888.77271</v>
      </c>
      <c r="D586">
        <v>96384874884.405746</v>
      </c>
      <c r="E586">
        <v>37491165</v>
      </c>
      <c r="F586" s="4">
        <v>1918</v>
      </c>
      <c r="G586">
        <f t="shared" si="41"/>
        <v>71908054470</v>
      </c>
      <c r="H586">
        <f t="shared" si="42"/>
        <v>7.7614216516122729</v>
      </c>
      <c r="I586">
        <f>D586</f>
        <v>96384874884.405746</v>
      </c>
      <c r="J586" s="6">
        <v>0.12</v>
      </c>
      <c r="K586" s="5">
        <f t="shared" si="43"/>
        <v>0.17269909884927889</v>
      </c>
      <c r="L586" s="7"/>
    </row>
    <row r="587" spans="1:12" x14ac:dyDescent="0.25">
      <c r="A587" t="s">
        <v>17</v>
      </c>
      <c r="B587">
        <v>1981</v>
      </c>
      <c r="C587">
        <v>557369411412.15637</v>
      </c>
      <c r="D587">
        <v>94793719119.421768</v>
      </c>
      <c r="E587">
        <v>37758631</v>
      </c>
      <c r="F587" s="4">
        <v>1884</v>
      </c>
      <c r="G587">
        <f t="shared" si="41"/>
        <v>71137260804</v>
      </c>
      <c r="H587">
        <f t="shared" si="42"/>
        <v>7.8351261366085083</v>
      </c>
      <c r="I587">
        <f>I586-(I586*J586)+D587</f>
        <v>179612409017.69882</v>
      </c>
      <c r="J587" s="6">
        <v>0.12</v>
      </c>
      <c r="K587" s="5">
        <f t="shared" si="43"/>
        <v>0.1700734148277917</v>
      </c>
      <c r="L587" s="7"/>
    </row>
    <row r="588" spans="1:12" x14ac:dyDescent="0.25">
      <c r="A588" t="s">
        <v>17</v>
      </c>
      <c r="B588">
        <v>1982</v>
      </c>
      <c r="C588">
        <v>564316808336.91882</v>
      </c>
      <c r="D588">
        <v>95750043784.263962</v>
      </c>
      <c r="E588">
        <v>37986012</v>
      </c>
      <c r="F588" s="4">
        <v>1863</v>
      </c>
      <c r="G588">
        <f t="shared" si="41"/>
        <v>70767940356</v>
      </c>
      <c r="H588">
        <f t="shared" si="42"/>
        <v>7.9741872590626226</v>
      </c>
      <c r="I588">
        <f t="shared" ref="I588:I628" si="44">I587-(I587*J587)+D588</f>
        <v>253808963719.83893</v>
      </c>
      <c r="J588" s="6">
        <v>0.12</v>
      </c>
      <c r="K588" s="5">
        <f t="shared" si="43"/>
        <v>0.16967427226994364</v>
      </c>
      <c r="L588" s="7"/>
    </row>
    <row r="589" spans="1:12" x14ac:dyDescent="0.25">
      <c r="A589" t="s">
        <v>17</v>
      </c>
      <c r="B589">
        <v>1983</v>
      </c>
      <c r="C589">
        <v>574305868280.55627</v>
      </c>
      <c r="D589">
        <v>94568509083.369812</v>
      </c>
      <c r="E589">
        <v>38171525</v>
      </c>
      <c r="F589" s="4">
        <v>1831</v>
      </c>
      <c r="G589">
        <f t="shared" si="41"/>
        <v>69892062275</v>
      </c>
      <c r="H589">
        <f t="shared" si="42"/>
        <v>8.2170399554225533</v>
      </c>
      <c r="I589">
        <f t="shared" si="44"/>
        <v>317920397156.82806</v>
      </c>
      <c r="J589" s="6">
        <v>0.12</v>
      </c>
      <c r="K589" s="5">
        <f t="shared" si="43"/>
        <v>0.16466575444632545</v>
      </c>
      <c r="L589" s="7"/>
    </row>
    <row r="590" spans="1:12" x14ac:dyDescent="0.25">
      <c r="A590" t="s">
        <v>17</v>
      </c>
      <c r="B590">
        <v>1984</v>
      </c>
      <c r="C590">
        <v>584555434084.32214</v>
      </c>
      <c r="D590">
        <v>90046363100.837784</v>
      </c>
      <c r="E590">
        <v>38330364</v>
      </c>
      <c r="F590" s="4">
        <v>1787</v>
      </c>
      <c r="G590">
        <f t="shared" si="41"/>
        <v>68496360468</v>
      </c>
      <c r="H590">
        <f t="shared" si="42"/>
        <v>8.5341094050889552</v>
      </c>
      <c r="I590">
        <f t="shared" si="44"/>
        <v>369816312598.84644</v>
      </c>
      <c r="J590" s="6">
        <v>0.12</v>
      </c>
      <c r="K590" s="5">
        <f t="shared" si="43"/>
        <v>0.15404247031231702</v>
      </c>
      <c r="L590" s="7"/>
    </row>
    <row r="591" spans="1:12" x14ac:dyDescent="0.25">
      <c r="A591" t="s">
        <v>17</v>
      </c>
      <c r="B591">
        <v>1985</v>
      </c>
      <c r="C591">
        <v>598125513453.22534</v>
      </c>
      <c r="D591">
        <v>96078066832.325653</v>
      </c>
      <c r="E591">
        <v>38469512</v>
      </c>
      <c r="F591" s="4">
        <v>1777</v>
      </c>
      <c r="G591">
        <f t="shared" si="41"/>
        <v>68360322824</v>
      </c>
      <c r="H591">
        <f t="shared" si="42"/>
        <v>8.7496004808689243</v>
      </c>
      <c r="I591">
        <f t="shared" si="44"/>
        <v>421516421919.31055</v>
      </c>
      <c r="J591" s="6">
        <v>0.12</v>
      </c>
      <c r="K591" s="5">
        <f t="shared" si="43"/>
        <v>0.16063194876544781</v>
      </c>
      <c r="L591" s="7"/>
    </row>
    <row r="592" spans="1:12" x14ac:dyDescent="0.25">
      <c r="A592" t="s">
        <v>17</v>
      </c>
      <c r="B592">
        <v>1986</v>
      </c>
      <c r="C592">
        <v>617584460083.10291</v>
      </c>
      <c r="D592">
        <v>106132540327.45572</v>
      </c>
      <c r="E592">
        <v>38584624</v>
      </c>
      <c r="F592" s="4">
        <v>1769</v>
      </c>
      <c r="G592">
        <f t="shared" si="41"/>
        <v>68256199856</v>
      </c>
      <c r="H592">
        <f t="shared" si="42"/>
        <v>9.0480346310814248</v>
      </c>
      <c r="I592">
        <f t="shared" si="44"/>
        <v>477066991616.44897</v>
      </c>
      <c r="J592" s="6">
        <v>0.12</v>
      </c>
      <c r="K592" s="5">
        <f t="shared" si="43"/>
        <v>0.17185105388366539</v>
      </c>
      <c r="L592" s="7"/>
    </row>
    <row r="593" spans="1:12" x14ac:dyDescent="0.25">
      <c r="A593" t="s">
        <v>17</v>
      </c>
      <c r="B593">
        <v>1987</v>
      </c>
      <c r="C593">
        <v>651842627761.88892</v>
      </c>
      <c r="D593">
        <v>119078836016.069</v>
      </c>
      <c r="E593">
        <v>38684815</v>
      </c>
      <c r="F593" s="4">
        <v>1761</v>
      </c>
      <c r="G593">
        <f t="shared" si="41"/>
        <v>68123959215</v>
      </c>
      <c r="H593">
        <f t="shared" si="42"/>
        <v>9.5684783338071426</v>
      </c>
      <c r="I593">
        <f t="shared" si="44"/>
        <v>538897788638.54407</v>
      </c>
      <c r="J593" s="6">
        <v>0.12</v>
      </c>
      <c r="K593" s="5">
        <f t="shared" si="43"/>
        <v>0.18268034483250645</v>
      </c>
      <c r="L593" s="7"/>
    </row>
    <row r="594" spans="1:12" x14ac:dyDescent="0.25">
      <c r="A594" t="s">
        <v>17</v>
      </c>
      <c r="B594">
        <v>1988</v>
      </c>
      <c r="C594">
        <v>685049605204.65833</v>
      </c>
      <c r="D594">
        <v>135217235795.4229</v>
      </c>
      <c r="E594">
        <v>38766939</v>
      </c>
      <c r="F594" s="4">
        <v>1757</v>
      </c>
      <c r="G594">
        <f t="shared" si="41"/>
        <v>68113511823</v>
      </c>
      <c r="H594">
        <f t="shared" si="42"/>
        <v>10.05747005065354</v>
      </c>
      <c r="I594">
        <f t="shared" si="44"/>
        <v>609447289797.34167</v>
      </c>
      <c r="J594" s="6">
        <v>0.12</v>
      </c>
      <c r="K594" s="5">
        <f t="shared" si="43"/>
        <v>0.1973831307515706</v>
      </c>
      <c r="L594" s="7"/>
    </row>
    <row r="595" spans="1:12" x14ac:dyDescent="0.25">
      <c r="A595" t="s">
        <v>17</v>
      </c>
      <c r="B595">
        <v>1989</v>
      </c>
      <c r="C595">
        <v>718117156819.54028</v>
      </c>
      <c r="D595">
        <v>151458448586.78656</v>
      </c>
      <c r="E595">
        <v>38827764</v>
      </c>
      <c r="F595" s="4">
        <v>1754</v>
      </c>
      <c r="G595">
        <f t="shared" si="41"/>
        <v>68103898056</v>
      </c>
      <c r="H595">
        <f t="shared" si="42"/>
        <v>10.544435448159691</v>
      </c>
      <c r="I595">
        <f t="shared" si="44"/>
        <v>687772063608.44727</v>
      </c>
      <c r="J595" s="6">
        <v>0.12</v>
      </c>
      <c r="K595" s="5">
        <f t="shared" si="43"/>
        <v>0.21091049997688247</v>
      </c>
      <c r="L595" s="7"/>
    </row>
    <row r="596" spans="1:12" x14ac:dyDescent="0.25">
      <c r="A596" t="s">
        <v>17</v>
      </c>
      <c r="B596">
        <v>1990</v>
      </c>
      <c r="C596">
        <v>745271992193.86365</v>
      </c>
      <c r="D596">
        <v>161230593212.7424</v>
      </c>
      <c r="E596">
        <v>38867322</v>
      </c>
      <c r="F596" s="4">
        <v>1747</v>
      </c>
      <c r="G596">
        <f t="shared" si="41"/>
        <v>67901211534</v>
      </c>
      <c r="H596">
        <f t="shared" si="42"/>
        <v>10.975827608328984</v>
      </c>
      <c r="I596">
        <f t="shared" si="44"/>
        <v>766470009188.17603</v>
      </c>
      <c r="J596" s="6">
        <v>0.12</v>
      </c>
      <c r="K596" s="5">
        <f t="shared" si="43"/>
        <v>0.21633792078798841</v>
      </c>
      <c r="L596" s="7"/>
    </row>
    <row r="597" spans="1:12" x14ac:dyDescent="0.25">
      <c r="A597" t="s">
        <v>17</v>
      </c>
      <c r="B597">
        <v>1991</v>
      </c>
      <c r="C597">
        <v>764246620913.80298</v>
      </c>
      <c r="D597">
        <v>163910263227.38342</v>
      </c>
      <c r="E597">
        <v>38966376</v>
      </c>
      <c r="F597" s="4">
        <v>1756</v>
      </c>
      <c r="G597">
        <f t="shared" si="41"/>
        <v>68424956256</v>
      </c>
      <c r="H597">
        <f t="shared" si="42"/>
        <v>11.169121074107933</v>
      </c>
      <c r="I597">
        <f t="shared" si="44"/>
        <v>838403871312.97839</v>
      </c>
      <c r="J597" s="6">
        <v>0.12</v>
      </c>
      <c r="K597" s="5">
        <f t="shared" si="43"/>
        <v>0.21447299699068001</v>
      </c>
      <c r="L597" s="7"/>
    </row>
    <row r="598" spans="1:12" x14ac:dyDescent="0.25">
      <c r="A598" t="s">
        <v>17</v>
      </c>
      <c r="B598">
        <v>1992</v>
      </c>
      <c r="C598">
        <v>771348118083.94434</v>
      </c>
      <c r="D598">
        <v>157132754916.43344</v>
      </c>
      <c r="E598">
        <v>39157685</v>
      </c>
      <c r="F598" s="4">
        <v>1748</v>
      </c>
      <c r="G598">
        <f t="shared" si="41"/>
        <v>68447633380</v>
      </c>
      <c r="H598">
        <f t="shared" si="42"/>
        <v>11.269171481819674</v>
      </c>
      <c r="I598">
        <f t="shared" si="44"/>
        <v>894928161671.85449</v>
      </c>
      <c r="J598" s="6">
        <v>0.12</v>
      </c>
      <c r="K598" s="5">
        <f t="shared" si="43"/>
        <v>0.20371185361384778</v>
      </c>
      <c r="L598" s="7"/>
    </row>
    <row r="599" spans="1:12" x14ac:dyDescent="0.25">
      <c r="A599" t="s">
        <v>17</v>
      </c>
      <c r="B599">
        <v>1993</v>
      </c>
      <c r="C599">
        <v>763391725698.39587</v>
      </c>
      <c r="D599">
        <v>143138743986.17722</v>
      </c>
      <c r="E599">
        <v>39361262</v>
      </c>
      <c r="F599" s="4">
        <v>1740</v>
      </c>
      <c r="G599">
        <f t="shared" si="41"/>
        <v>68488595880</v>
      </c>
      <c r="H599">
        <f t="shared" si="42"/>
        <v>11.146260423208954</v>
      </c>
      <c r="I599">
        <f t="shared" si="44"/>
        <v>930675526257.40918</v>
      </c>
      <c r="J599" s="6">
        <v>0.12</v>
      </c>
      <c r="K599" s="5">
        <f t="shared" si="43"/>
        <v>0.18750366183917624</v>
      </c>
      <c r="L599" s="7"/>
    </row>
    <row r="600" spans="1:12" x14ac:dyDescent="0.25">
      <c r="A600" t="s">
        <v>17</v>
      </c>
      <c r="B600">
        <v>1994</v>
      </c>
      <c r="C600">
        <v>781584842385.51428</v>
      </c>
      <c r="D600">
        <v>145784142257.13971</v>
      </c>
      <c r="E600">
        <v>39549108</v>
      </c>
      <c r="F600" s="4">
        <v>1739</v>
      </c>
      <c r="G600">
        <f t="shared" si="41"/>
        <v>68775898812</v>
      </c>
      <c r="H600">
        <f t="shared" si="42"/>
        <v>11.364225780923471</v>
      </c>
      <c r="I600">
        <f t="shared" si="44"/>
        <v>964778605363.65967</v>
      </c>
      <c r="J600" s="6">
        <v>0.12</v>
      </c>
      <c r="K600" s="5">
        <f t="shared" si="43"/>
        <v>0.18652375833208923</v>
      </c>
      <c r="L600" s="7"/>
    </row>
    <row r="601" spans="1:12" x14ac:dyDescent="0.25">
      <c r="A601" t="s">
        <v>17</v>
      </c>
      <c r="B601">
        <v>1995</v>
      </c>
      <c r="C601">
        <v>803136997144.35803</v>
      </c>
      <c r="D601">
        <v>157075637192.82407</v>
      </c>
      <c r="E601">
        <v>39724050</v>
      </c>
      <c r="F601" s="4">
        <v>1739</v>
      </c>
      <c r="G601">
        <f t="shared" si="41"/>
        <v>69080122950</v>
      </c>
      <c r="H601">
        <f t="shared" si="42"/>
        <v>11.626166295703705</v>
      </c>
      <c r="I601">
        <f t="shared" si="44"/>
        <v>1006080809912.8446</v>
      </c>
      <c r="J601" s="6">
        <v>0.12</v>
      </c>
      <c r="K601" s="5">
        <f t="shared" si="43"/>
        <v>0.19557763837467801</v>
      </c>
      <c r="L601" s="7"/>
    </row>
    <row r="602" spans="1:12" x14ac:dyDescent="0.25">
      <c r="A602" t="s">
        <v>17</v>
      </c>
      <c r="B602">
        <v>1996</v>
      </c>
      <c r="C602">
        <v>824078081021.61267</v>
      </c>
      <c r="D602">
        <v>161003420448.38696</v>
      </c>
      <c r="E602">
        <v>39889852</v>
      </c>
      <c r="F602" s="4">
        <v>1740</v>
      </c>
      <c r="G602">
        <f t="shared" si="41"/>
        <v>69408342480</v>
      </c>
      <c r="H602">
        <f t="shared" si="42"/>
        <v>11.872896709197034</v>
      </c>
      <c r="I602">
        <f t="shared" si="44"/>
        <v>1046354533171.6902</v>
      </c>
      <c r="J602" s="6">
        <v>0.12</v>
      </c>
      <c r="K602" s="5">
        <f t="shared" si="43"/>
        <v>0.19537398719401736</v>
      </c>
      <c r="L602" s="7"/>
    </row>
    <row r="603" spans="1:12" x14ac:dyDescent="0.25">
      <c r="A603" t="s">
        <v>17</v>
      </c>
      <c r="B603">
        <v>1997</v>
      </c>
      <c r="C603">
        <v>853640232062.28967</v>
      </c>
      <c r="D603">
        <v>169897923735.16507</v>
      </c>
      <c r="E603">
        <v>40057389</v>
      </c>
      <c r="F603" s="4">
        <v>1743</v>
      </c>
      <c r="G603">
        <f t="shared" si="41"/>
        <v>69820029027</v>
      </c>
      <c r="H603">
        <f t="shared" si="42"/>
        <v>12.2262944309602</v>
      </c>
      <c r="I603">
        <f t="shared" si="44"/>
        <v>1090689912926.2524</v>
      </c>
      <c r="J603" s="6">
        <v>0.12</v>
      </c>
      <c r="K603" s="5">
        <f t="shared" si="43"/>
        <v>0.19902754972632042</v>
      </c>
      <c r="L603" s="7"/>
    </row>
    <row r="604" spans="1:12" x14ac:dyDescent="0.25">
      <c r="A604" t="s">
        <v>17</v>
      </c>
      <c r="B604">
        <v>1998</v>
      </c>
      <c r="C604">
        <v>890363641965.93579</v>
      </c>
      <c r="D604">
        <v>188185911541.02209</v>
      </c>
      <c r="E604">
        <v>40223509</v>
      </c>
      <c r="F604" s="4">
        <v>1751</v>
      </c>
      <c r="G604">
        <f t="shared" si="41"/>
        <v>70431364259</v>
      </c>
      <c r="H604">
        <f t="shared" si="42"/>
        <v>12.641578809857592</v>
      </c>
      <c r="I604">
        <f t="shared" si="44"/>
        <v>1147993034916.1243</v>
      </c>
      <c r="J604" s="6">
        <v>0.12</v>
      </c>
      <c r="K604" s="5">
        <f t="shared" si="43"/>
        <v>0.21135848620851688</v>
      </c>
      <c r="L604" s="7"/>
    </row>
    <row r="605" spans="1:12" x14ac:dyDescent="0.25">
      <c r="A605" t="s">
        <v>17</v>
      </c>
      <c r="B605">
        <v>1999</v>
      </c>
      <c r="C605">
        <v>929618577504.04077</v>
      </c>
      <c r="D605">
        <v>206835268804.86859</v>
      </c>
      <c r="E605">
        <v>40386875</v>
      </c>
      <c r="F605" s="4">
        <v>1756</v>
      </c>
      <c r="G605">
        <f t="shared" si="41"/>
        <v>70919352500</v>
      </c>
      <c r="H605">
        <f t="shared" si="42"/>
        <v>13.108108643603885</v>
      </c>
      <c r="I605">
        <f t="shared" si="44"/>
        <v>1217069139531.0579</v>
      </c>
      <c r="J605" s="6">
        <v>0.12</v>
      </c>
      <c r="K605" s="5">
        <f t="shared" si="43"/>
        <v>0.22249476700455628</v>
      </c>
      <c r="L605" s="7"/>
    </row>
    <row r="606" spans="1:12" x14ac:dyDescent="0.25">
      <c r="A606" t="s">
        <v>17</v>
      </c>
      <c r="B606">
        <v>2000</v>
      </c>
      <c r="C606">
        <v>977964704117.09656</v>
      </c>
      <c r="D606">
        <v>222680867022.87369</v>
      </c>
      <c r="E606">
        <v>40567864</v>
      </c>
      <c r="F606" s="4">
        <v>1752.8</v>
      </c>
      <c r="G606">
        <f t="shared" si="41"/>
        <v>71107352019.199997</v>
      </c>
      <c r="H606">
        <f t="shared" si="42"/>
        <v>13.753355684698148</v>
      </c>
      <c r="I606">
        <f t="shared" si="44"/>
        <v>1293701709810.2046</v>
      </c>
      <c r="J606" s="6">
        <v>0.12</v>
      </c>
      <c r="K606" s="5">
        <f t="shared" si="43"/>
        <v>0.22769826567913745</v>
      </c>
      <c r="L606" s="7"/>
    </row>
    <row r="607" spans="1:12" x14ac:dyDescent="0.25">
      <c r="A607" t="s">
        <v>17</v>
      </c>
      <c r="B607">
        <v>2001</v>
      </c>
      <c r="C607">
        <v>1016292009212.7367</v>
      </c>
      <c r="D607">
        <v>232006071009.15063</v>
      </c>
      <c r="E607">
        <v>40850412</v>
      </c>
      <c r="F607" s="4">
        <v>1762.1</v>
      </c>
      <c r="G607">
        <f t="shared" si="41"/>
        <v>71982510985.199997</v>
      </c>
      <c r="H607">
        <f t="shared" si="42"/>
        <v>14.118596243769433</v>
      </c>
      <c r="I607">
        <f t="shared" si="44"/>
        <v>1370463575642.1306</v>
      </c>
      <c r="J607" s="6">
        <v>0.12</v>
      </c>
      <c r="K607" s="5">
        <f t="shared" si="43"/>
        <v>0.22828682003401018</v>
      </c>
      <c r="L607" s="7"/>
    </row>
    <row r="608" spans="1:12" x14ac:dyDescent="0.25">
      <c r="A608" t="s">
        <v>17</v>
      </c>
      <c r="B608">
        <v>2002</v>
      </c>
      <c r="C608">
        <v>1044295489916.3542</v>
      </c>
      <c r="D608">
        <v>241481495274.228</v>
      </c>
      <c r="E608">
        <v>41431558</v>
      </c>
      <c r="F608" s="4">
        <v>1763.6</v>
      </c>
      <c r="G608">
        <f t="shared" si="41"/>
        <v>73068695688.800003</v>
      </c>
      <c r="H608">
        <f t="shared" si="42"/>
        <v>14.29196840140701</v>
      </c>
      <c r="I608">
        <f t="shared" si="44"/>
        <v>1447489441839.303</v>
      </c>
      <c r="J608" s="6">
        <v>0.12</v>
      </c>
      <c r="K608" s="5">
        <f t="shared" si="43"/>
        <v>0.23123866530685691</v>
      </c>
      <c r="L608" s="7"/>
    </row>
    <row r="609" spans="1:12" x14ac:dyDescent="0.25">
      <c r="A609" t="s">
        <v>17</v>
      </c>
      <c r="B609">
        <v>2003</v>
      </c>
      <c r="C609">
        <v>1074990359309.7637</v>
      </c>
      <c r="D609">
        <v>257364910129.59711</v>
      </c>
      <c r="E609">
        <v>42187645</v>
      </c>
      <c r="F609" s="4">
        <v>1754.6</v>
      </c>
      <c r="G609">
        <f t="shared" si="41"/>
        <v>74022441917</v>
      </c>
      <c r="H609">
        <f t="shared" si="42"/>
        <v>14.522492523485385</v>
      </c>
      <c r="I609">
        <f t="shared" si="44"/>
        <v>1531155618948.1838</v>
      </c>
      <c r="J609" s="6">
        <v>0.12</v>
      </c>
      <c r="K609" s="5">
        <f t="shared" si="43"/>
        <v>0.23941136578643135</v>
      </c>
      <c r="L609" s="7"/>
    </row>
    <row r="610" spans="1:12" x14ac:dyDescent="0.25">
      <c r="A610" t="s">
        <v>17</v>
      </c>
      <c r="B610">
        <v>2004</v>
      </c>
      <c r="C610">
        <v>1108471272156.6897</v>
      </c>
      <c r="D610">
        <v>269114646093.75137</v>
      </c>
      <c r="E610">
        <v>42921895</v>
      </c>
      <c r="F610" s="4">
        <v>1739.9</v>
      </c>
      <c r="G610">
        <f t="shared" si="41"/>
        <v>74679805110.5</v>
      </c>
      <c r="H610">
        <f t="shared" si="42"/>
        <v>14.842985603893045</v>
      </c>
      <c r="I610">
        <f t="shared" si="44"/>
        <v>1616531590768.1533</v>
      </c>
      <c r="J610" s="6">
        <v>0.12</v>
      </c>
      <c r="K610" s="5">
        <f t="shared" si="43"/>
        <v>0.2427799915555324</v>
      </c>
      <c r="L610" s="7"/>
    </row>
    <row r="611" spans="1:12" x14ac:dyDescent="0.25">
      <c r="A611" t="s">
        <v>17</v>
      </c>
      <c r="B611">
        <v>2005</v>
      </c>
      <c r="C611">
        <v>1147835586804.0913</v>
      </c>
      <c r="D611">
        <v>287889012174.98456</v>
      </c>
      <c r="E611">
        <v>43653155</v>
      </c>
      <c r="F611" s="4">
        <v>1723.7</v>
      </c>
      <c r="G611">
        <f t="shared" si="41"/>
        <v>75244943273.5</v>
      </c>
      <c r="H611">
        <f t="shared" si="42"/>
        <v>15.254654158379035</v>
      </c>
      <c r="I611">
        <f t="shared" si="44"/>
        <v>1710436812050.9595</v>
      </c>
      <c r="J611" s="6">
        <v>0.12</v>
      </c>
      <c r="K611" s="5">
        <f t="shared" si="43"/>
        <v>0.25081032116851459</v>
      </c>
      <c r="L611" s="7"/>
    </row>
    <row r="612" spans="1:12" x14ac:dyDescent="0.25">
      <c r="A612" t="s">
        <v>17</v>
      </c>
      <c r="B612">
        <v>2006</v>
      </c>
      <c r="C612">
        <v>1194247575041.7971</v>
      </c>
      <c r="D612">
        <v>308788519275.68884</v>
      </c>
      <c r="E612">
        <v>44397319</v>
      </c>
      <c r="F612" s="4">
        <v>1713.7</v>
      </c>
      <c r="G612">
        <f t="shared" si="41"/>
        <v>76083685570.300003</v>
      </c>
      <c r="H612">
        <f t="shared" si="42"/>
        <v>15.696500058982199</v>
      </c>
      <c r="I612">
        <f t="shared" si="44"/>
        <v>1813972913880.5332</v>
      </c>
      <c r="J612" s="6">
        <v>0.12</v>
      </c>
      <c r="K612" s="5">
        <f t="shared" si="43"/>
        <v>0.2585632374132153</v>
      </c>
      <c r="L612" s="7"/>
    </row>
    <row r="613" spans="1:12" x14ac:dyDescent="0.25">
      <c r="A613" t="s">
        <v>17</v>
      </c>
      <c r="B613">
        <v>2007</v>
      </c>
      <c r="C613">
        <v>1236446314561.824</v>
      </c>
      <c r="D613">
        <v>321125479360.87402</v>
      </c>
      <c r="E613">
        <v>45226803</v>
      </c>
      <c r="F613" s="4">
        <v>1701.3</v>
      </c>
      <c r="G613">
        <f t="shared" si="41"/>
        <v>76944359943.899994</v>
      </c>
      <c r="H613">
        <f t="shared" si="42"/>
        <v>16.069356031596271</v>
      </c>
      <c r="I613">
        <f t="shared" si="44"/>
        <v>1917421643575.7432</v>
      </c>
      <c r="J613" s="6">
        <v>0.12</v>
      </c>
      <c r="K613" s="5">
        <f t="shared" si="43"/>
        <v>0.25971647582181967</v>
      </c>
      <c r="L613" s="7"/>
    </row>
    <row r="614" spans="1:12" x14ac:dyDescent="0.25">
      <c r="A614" t="s">
        <v>17</v>
      </c>
      <c r="B614">
        <v>2008</v>
      </c>
      <c r="C614">
        <v>1245931907512.5439</v>
      </c>
      <c r="D614">
        <v>307645585637.77246</v>
      </c>
      <c r="E614">
        <v>45954106</v>
      </c>
      <c r="F614" s="4">
        <v>1710.1</v>
      </c>
      <c r="G614">
        <f t="shared" si="41"/>
        <v>78586116670.599991</v>
      </c>
      <c r="H614">
        <f t="shared" si="42"/>
        <v>15.85435138289079</v>
      </c>
      <c r="I614">
        <f t="shared" si="44"/>
        <v>1994976631984.4265</v>
      </c>
      <c r="J614" s="6">
        <v>0.12</v>
      </c>
      <c r="K614" s="5">
        <f t="shared" si="43"/>
        <v>0.24692006343426526</v>
      </c>
      <c r="L614" s="7"/>
    </row>
    <row r="615" spans="1:12" x14ac:dyDescent="0.25">
      <c r="A615" t="s">
        <v>17</v>
      </c>
      <c r="B615">
        <v>2009</v>
      </c>
      <c r="C615">
        <v>1198983535253.4814</v>
      </c>
      <c r="D615">
        <v>254950883019.76822</v>
      </c>
      <c r="E615">
        <v>46362946</v>
      </c>
      <c r="F615" s="4">
        <v>1715.8</v>
      </c>
      <c r="G615">
        <f t="shared" si="41"/>
        <v>79549542746.800003</v>
      </c>
      <c r="H615">
        <f t="shared" si="42"/>
        <v>15.072161245096689</v>
      </c>
      <c r="I615">
        <f t="shared" si="44"/>
        <v>2010530319166.0637</v>
      </c>
      <c r="J615" s="6">
        <v>0.12</v>
      </c>
      <c r="K615" s="5">
        <f t="shared" si="43"/>
        <v>0.21263918604676096</v>
      </c>
      <c r="L615" s="7"/>
    </row>
    <row r="616" spans="1:12" x14ac:dyDescent="0.25">
      <c r="A616" t="s">
        <v>17</v>
      </c>
      <c r="B616">
        <v>2010</v>
      </c>
      <c r="C616">
        <v>1200112046333.333</v>
      </c>
      <c r="D616">
        <v>241838661897.38776</v>
      </c>
      <c r="E616">
        <v>46576897</v>
      </c>
      <c r="F616" s="4">
        <v>1705.8</v>
      </c>
      <c r="G616">
        <f t="shared" si="41"/>
        <v>79450870902.599991</v>
      </c>
      <c r="H616">
        <f t="shared" si="42"/>
        <v>15.105083590645195</v>
      </c>
      <c r="I616">
        <f t="shared" si="44"/>
        <v>2011105342763.5237</v>
      </c>
      <c r="J616" s="6">
        <v>0.12</v>
      </c>
      <c r="K616" s="5">
        <f t="shared" si="43"/>
        <v>0.20151340254959552</v>
      </c>
      <c r="L616" s="7"/>
    </row>
    <row r="617" spans="1:12" x14ac:dyDescent="0.25">
      <c r="A617" t="s">
        <v>17</v>
      </c>
      <c r="B617">
        <v>2011</v>
      </c>
      <c r="C617">
        <v>1192432281030.2139</v>
      </c>
      <c r="D617">
        <v>224075918603.46552</v>
      </c>
      <c r="E617">
        <v>46742697</v>
      </c>
      <c r="F617" s="4">
        <v>1710.7</v>
      </c>
      <c r="G617">
        <f t="shared" si="41"/>
        <v>79962731757.900009</v>
      </c>
      <c r="H617">
        <f t="shared" si="42"/>
        <v>14.912350476475638</v>
      </c>
      <c r="I617">
        <f t="shared" si="44"/>
        <v>1993848620235.3665</v>
      </c>
      <c r="J617" s="6">
        <v>0.12</v>
      </c>
      <c r="K617" s="5">
        <f t="shared" si="43"/>
        <v>0.18791500546250967</v>
      </c>
      <c r="L617" s="7"/>
    </row>
    <row r="618" spans="1:12" x14ac:dyDescent="0.25">
      <c r="A618" t="s">
        <v>17</v>
      </c>
      <c r="B618">
        <v>2012</v>
      </c>
      <c r="C618">
        <v>1158267740706.2163</v>
      </c>
      <c r="D618">
        <v>208091655683.41589</v>
      </c>
      <c r="E618">
        <v>46773055</v>
      </c>
      <c r="F618" s="4">
        <v>1696.7</v>
      </c>
      <c r="G618">
        <f t="shared" si="41"/>
        <v>79359842418.5</v>
      </c>
      <c r="H618">
        <f t="shared" si="42"/>
        <v>14.595136600677099</v>
      </c>
      <c r="I618">
        <f t="shared" si="44"/>
        <v>1962678441490.5386</v>
      </c>
      <c r="J618" s="6">
        <v>0.12</v>
      </c>
      <c r="K618" s="5">
        <f t="shared" si="43"/>
        <v>0.17965764595717632</v>
      </c>
      <c r="L618" s="7"/>
    </row>
    <row r="619" spans="1:12" x14ac:dyDescent="0.25">
      <c r="A619" t="s">
        <v>17</v>
      </c>
      <c r="B619">
        <v>2013</v>
      </c>
      <c r="C619">
        <v>1141735528202.4382</v>
      </c>
      <c r="D619">
        <v>200781292711.61435</v>
      </c>
      <c r="E619">
        <v>46620045</v>
      </c>
      <c r="F619" s="4">
        <v>1689.8</v>
      </c>
      <c r="G619">
        <f t="shared" si="41"/>
        <v>78778552041</v>
      </c>
      <c r="H619">
        <f t="shared" si="42"/>
        <v>14.492974275640739</v>
      </c>
      <c r="I619">
        <f t="shared" si="44"/>
        <v>1927938321223.2881</v>
      </c>
      <c r="J619" s="6">
        <v>0.12</v>
      </c>
      <c r="K619" s="5">
        <f t="shared" si="43"/>
        <v>0.17585621867064674</v>
      </c>
      <c r="L619" s="7"/>
    </row>
    <row r="620" spans="1:12" x14ac:dyDescent="0.25">
      <c r="A620" t="s">
        <v>17</v>
      </c>
      <c r="B620">
        <v>2014</v>
      </c>
      <c r="C620">
        <v>1159095456184.3418</v>
      </c>
      <c r="D620">
        <v>209553938197.61514</v>
      </c>
      <c r="E620">
        <v>46480882</v>
      </c>
      <c r="F620" s="4">
        <v>1690.6</v>
      </c>
      <c r="G620">
        <f t="shared" si="41"/>
        <v>78580579109.199997</v>
      </c>
      <c r="H620">
        <f t="shared" si="42"/>
        <v>14.75040613500185</v>
      </c>
      <c r="I620">
        <f t="shared" si="44"/>
        <v>1906139660874.1089</v>
      </c>
      <c r="J620" s="6">
        <v>0.12</v>
      </c>
      <c r="K620" s="5">
        <f t="shared" si="43"/>
        <v>0.18079092371516278</v>
      </c>
      <c r="L620" s="7"/>
    </row>
    <row r="621" spans="1:12" x14ac:dyDescent="0.25">
      <c r="A621" t="s">
        <v>17</v>
      </c>
      <c r="B621">
        <v>2015</v>
      </c>
      <c r="C621">
        <v>1206164777553.1243</v>
      </c>
      <c r="D621">
        <v>220715399332.03113</v>
      </c>
      <c r="E621">
        <v>46444832</v>
      </c>
      <c r="F621" s="4">
        <v>1694.2</v>
      </c>
      <c r="G621">
        <f t="shared" si="41"/>
        <v>78686834374.400009</v>
      </c>
      <c r="H621">
        <f t="shared" si="42"/>
        <v>15.328673305296142</v>
      </c>
      <c r="I621">
        <f t="shared" si="44"/>
        <v>1898118300901.2471</v>
      </c>
      <c r="J621" s="6">
        <v>0.12</v>
      </c>
      <c r="K621" s="5">
        <f t="shared" si="43"/>
        <v>0.18298942519262046</v>
      </c>
      <c r="L621" s="7"/>
    </row>
    <row r="622" spans="1:12" x14ac:dyDescent="0.25">
      <c r="A622" t="s">
        <v>17</v>
      </c>
      <c r="B622">
        <v>2016</v>
      </c>
      <c r="C622">
        <v>1241326362774.563</v>
      </c>
      <c r="D622">
        <v>225203094939.30923</v>
      </c>
      <c r="E622">
        <v>46484062</v>
      </c>
      <c r="F622" s="4">
        <v>1701.5</v>
      </c>
      <c r="G622">
        <f t="shared" si="41"/>
        <v>79092631493</v>
      </c>
      <c r="H622">
        <f t="shared" si="42"/>
        <v>15.694589234705449</v>
      </c>
      <c r="I622">
        <f t="shared" si="44"/>
        <v>1895547199732.4067</v>
      </c>
      <c r="J622" s="6">
        <v>0.12</v>
      </c>
      <c r="K622" s="5">
        <f t="shared" si="43"/>
        <v>0.18142134227774256</v>
      </c>
      <c r="L622" s="7"/>
    </row>
    <row r="623" spans="1:12" x14ac:dyDescent="0.25">
      <c r="A623" t="s">
        <v>17</v>
      </c>
      <c r="B623">
        <v>2017</v>
      </c>
      <c r="C623">
        <v>1277275696600.7808</v>
      </c>
      <c r="D623">
        <v>240405792569.91901</v>
      </c>
      <c r="E623">
        <v>46593236</v>
      </c>
      <c r="F623" s="4">
        <v>1692.4</v>
      </c>
      <c r="G623">
        <f t="shared" si="41"/>
        <v>78854392606.400009</v>
      </c>
      <c r="H623">
        <f t="shared" si="42"/>
        <v>16.197901656237146</v>
      </c>
      <c r="I623">
        <f t="shared" si="44"/>
        <v>1908487328334.437</v>
      </c>
      <c r="J623" s="6">
        <v>0.12</v>
      </c>
      <c r="K623" s="5">
        <f t="shared" si="43"/>
        <v>0.1882176206826075</v>
      </c>
      <c r="L623" s="7"/>
    </row>
    <row r="624" spans="1:12" x14ac:dyDescent="0.25">
      <c r="A624" t="s">
        <v>17</v>
      </c>
      <c r="B624">
        <v>2018</v>
      </c>
      <c r="C624">
        <v>1307871701738.5581</v>
      </c>
      <c r="D624">
        <v>256004525279.27292</v>
      </c>
      <c r="E624">
        <v>46797754</v>
      </c>
      <c r="F624" s="4">
        <v>1697.6</v>
      </c>
      <c r="G624">
        <f t="shared" si="41"/>
        <v>79443867190.399994</v>
      </c>
      <c r="H624">
        <f t="shared" si="42"/>
        <v>16.462840342402181</v>
      </c>
      <c r="I624">
        <f t="shared" si="44"/>
        <v>1935473374213.5776</v>
      </c>
      <c r="J624" s="6">
        <v>0.12</v>
      </c>
      <c r="K624" s="5">
        <f t="shared" si="43"/>
        <v>0.19574131387579169</v>
      </c>
      <c r="L624" s="7"/>
    </row>
    <row r="625" spans="1:12" x14ac:dyDescent="0.25">
      <c r="A625" t="s">
        <v>17</v>
      </c>
      <c r="B625">
        <v>2019</v>
      </c>
      <c r="C625">
        <v>1333521400772.7949</v>
      </c>
      <c r="D625">
        <v>268526371264.01315</v>
      </c>
      <c r="E625">
        <v>47134837</v>
      </c>
      <c r="F625" s="4">
        <v>1677.5</v>
      </c>
      <c r="G625">
        <f t="shared" si="41"/>
        <v>79068689067.5</v>
      </c>
      <c r="H625">
        <f t="shared" si="42"/>
        <v>16.865353612153395</v>
      </c>
      <c r="I625">
        <f t="shared" si="44"/>
        <v>1971742940571.9614</v>
      </c>
      <c r="J625" s="6">
        <v>0.12</v>
      </c>
      <c r="K625" s="5">
        <f t="shared" si="43"/>
        <v>0.20136637560401974</v>
      </c>
      <c r="L625" s="7"/>
    </row>
    <row r="626" spans="1:12" x14ac:dyDescent="0.25">
      <c r="A626" t="s">
        <v>17</v>
      </c>
      <c r="B626">
        <v>2020</v>
      </c>
      <c r="C626">
        <v>1187633217272.8755</v>
      </c>
      <c r="D626">
        <v>244552078856.11005</v>
      </c>
      <c r="E626">
        <v>47365655</v>
      </c>
      <c r="F626" s="4">
        <v>1557.8</v>
      </c>
      <c r="G626">
        <f t="shared" si="41"/>
        <v>73786217359</v>
      </c>
      <c r="H626">
        <f t="shared" si="42"/>
        <v>16.095596979779518</v>
      </c>
      <c r="I626">
        <f t="shared" si="44"/>
        <v>1979685866559.4363</v>
      </c>
      <c r="J626" s="6">
        <v>0.12</v>
      </c>
      <c r="K626" s="5">
        <f t="shared" si="43"/>
        <v>0.20591549251010952</v>
      </c>
      <c r="L626" s="7"/>
    </row>
    <row r="627" spans="1:12" x14ac:dyDescent="0.25">
      <c r="A627" t="s">
        <v>17</v>
      </c>
      <c r="B627">
        <v>2021</v>
      </c>
      <c r="C627">
        <v>1267004457572.2092</v>
      </c>
      <c r="D627">
        <v>250996837594.08426</v>
      </c>
      <c r="E627">
        <v>47415794</v>
      </c>
      <c r="F627" s="4">
        <v>1633</v>
      </c>
      <c r="G627">
        <f t="shared" si="41"/>
        <v>77429991602</v>
      </c>
      <c r="H627">
        <f t="shared" si="42"/>
        <v>16.363226075043031</v>
      </c>
      <c r="I627">
        <f t="shared" si="44"/>
        <v>1993120400166.3882</v>
      </c>
      <c r="J627" s="6">
        <v>0.12</v>
      </c>
      <c r="K627" s="5">
        <f t="shared" si="43"/>
        <v>0.19810256869580067</v>
      </c>
      <c r="L627" s="7"/>
    </row>
    <row r="628" spans="1:12" x14ac:dyDescent="0.25">
      <c r="A628" t="s">
        <v>17</v>
      </c>
      <c r="B628">
        <v>2022</v>
      </c>
      <c r="C628">
        <v>1345296618919.5081</v>
      </c>
      <c r="D628">
        <v>259162299931.66473</v>
      </c>
      <c r="E628">
        <v>47759127</v>
      </c>
      <c r="F628" s="4">
        <v>1652.2</v>
      </c>
      <c r="G628">
        <f t="shared" si="41"/>
        <v>78907629629.400009</v>
      </c>
      <c r="H628">
        <f t="shared" si="42"/>
        <v>17.049005593475172</v>
      </c>
      <c r="I628">
        <f t="shared" si="44"/>
        <v>2013108252078.0864</v>
      </c>
      <c r="J628" s="6">
        <v>0.12</v>
      </c>
      <c r="K628" s="5">
        <f t="shared" si="43"/>
        <v>0.19264324037312619</v>
      </c>
      <c r="L628" s="7"/>
    </row>
    <row r="629" spans="1:12" x14ac:dyDescent="0.25">
      <c r="A629" t="s">
        <v>18</v>
      </c>
      <c r="B629">
        <v>1980</v>
      </c>
      <c r="C629">
        <v>240429247341.06314</v>
      </c>
      <c r="D629">
        <v>52521464572.192642</v>
      </c>
      <c r="E629">
        <v>8310531</v>
      </c>
      <c r="F629" s="4">
        <v>1381</v>
      </c>
      <c r="G629">
        <f t="shared" si="41"/>
        <v>11476843311</v>
      </c>
      <c r="H629">
        <f t="shared" si="42"/>
        <v>20.949074656323251</v>
      </c>
      <c r="I629">
        <f>D629</f>
        <v>52521464572.192642</v>
      </c>
      <c r="J629" s="6">
        <v>0.12</v>
      </c>
      <c r="K629" s="5">
        <f t="shared" si="43"/>
        <v>0.21844873347578977</v>
      </c>
      <c r="L629" s="7"/>
    </row>
    <row r="630" spans="1:12" x14ac:dyDescent="0.25">
      <c r="A630" t="s">
        <v>18</v>
      </c>
      <c r="B630">
        <v>1981</v>
      </c>
      <c r="C630">
        <v>241522792694.46786</v>
      </c>
      <c r="D630">
        <v>50891921671.313957</v>
      </c>
      <c r="E630">
        <v>8320503</v>
      </c>
      <c r="F630" s="4">
        <v>1373</v>
      </c>
      <c r="G630">
        <f t="shared" si="41"/>
        <v>11424050619</v>
      </c>
      <c r="H630">
        <f t="shared" si="42"/>
        <v>21.141607364097052</v>
      </c>
      <c r="I630">
        <f>I629-(I629*J629)+D630</f>
        <v>97110810494.843475</v>
      </c>
      <c r="J630" s="6">
        <v>0.12</v>
      </c>
      <c r="K630" s="5">
        <f t="shared" si="43"/>
        <v>0.21071270791280333</v>
      </c>
      <c r="L630" s="7"/>
    </row>
    <row r="631" spans="1:12" x14ac:dyDescent="0.25">
      <c r="A631" t="s">
        <v>18</v>
      </c>
      <c r="B631">
        <v>1982</v>
      </c>
      <c r="C631">
        <v>244538602536.36469</v>
      </c>
      <c r="D631">
        <v>51224890372.85733</v>
      </c>
      <c r="E631">
        <v>8325263</v>
      </c>
      <c r="F631" s="4">
        <v>1386</v>
      </c>
      <c r="G631">
        <f t="shared" si="41"/>
        <v>11538814518</v>
      </c>
      <c r="H631">
        <f t="shared" si="42"/>
        <v>21.192697235482566</v>
      </c>
      <c r="I631">
        <f t="shared" ref="I631:I671" si="45">I630-(I630*J630)+D631</f>
        <v>136682403608.3196</v>
      </c>
      <c r="J631" s="6">
        <v>0.12</v>
      </c>
      <c r="K631" s="5">
        <f t="shared" si="43"/>
        <v>0.20947568130982433</v>
      </c>
      <c r="L631" s="7"/>
    </row>
    <row r="632" spans="1:12" x14ac:dyDescent="0.25">
      <c r="A632" t="s">
        <v>18</v>
      </c>
      <c r="B632">
        <v>1983</v>
      </c>
      <c r="C632">
        <v>249186397767.43451</v>
      </c>
      <c r="D632">
        <v>52948885678.43956</v>
      </c>
      <c r="E632">
        <v>8329033</v>
      </c>
      <c r="F632" s="4">
        <v>1395</v>
      </c>
      <c r="G632">
        <f t="shared" si="41"/>
        <v>11619001035</v>
      </c>
      <c r="H632">
        <f t="shared" si="42"/>
        <v>21.44645628456427</v>
      </c>
      <c r="I632">
        <f t="shared" si="45"/>
        <v>173229400853.7608</v>
      </c>
      <c r="J632" s="6">
        <v>0.12</v>
      </c>
      <c r="K632" s="5">
        <f t="shared" si="43"/>
        <v>0.21248706250754792</v>
      </c>
      <c r="L632" s="7"/>
    </row>
    <row r="633" spans="1:12" x14ac:dyDescent="0.25">
      <c r="A633" t="s">
        <v>18</v>
      </c>
      <c r="B633">
        <v>1984</v>
      </c>
      <c r="C633">
        <v>259725824385.73959</v>
      </c>
      <c r="D633">
        <v>57223096503.796967</v>
      </c>
      <c r="E633">
        <v>8336605</v>
      </c>
      <c r="F633" s="4">
        <v>1397</v>
      </c>
      <c r="G633">
        <f t="shared" si="41"/>
        <v>11646237185</v>
      </c>
      <c r="H633">
        <f t="shared" si="42"/>
        <v>22.30126522927582</v>
      </c>
      <c r="I633">
        <f t="shared" si="45"/>
        <v>209664969255.10648</v>
      </c>
      <c r="J633" s="6">
        <v>0.12</v>
      </c>
      <c r="K633" s="5">
        <f t="shared" si="43"/>
        <v>0.22032116613406286</v>
      </c>
      <c r="L633" s="7"/>
    </row>
    <row r="634" spans="1:12" x14ac:dyDescent="0.25">
      <c r="A634" t="s">
        <v>18</v>
      </c>
      <c r="B634">
        <v>1985</v>
      </c>
      <c r="C634">
        <v>265336872885.07407</v>
      </c>
      <c r="D634">
        <v>61744410154.350937</v>
      </c>
      <c r="E634">
        <v>8350386</v>
      </c>
      <c r="F634" s="4">
        <v>1401</v>
      </c>
      <c r="G634">
        <f t="shared" si="41"/>
        <v>11698890786</v>
      </c>
      <c r="H634">
        <f t="shared" si="42"/>
        <v>22.680515421393736</v>
      </c>
      <c r="I634">
        <f t="shared" si="45"/>
        <v>246249583098.84467</v>
      </c>
      <c r="J634" s="6">
        <v>0.12</v>
      </c>
      <c r="K634" s="5">
        <f t="shared" si="43"/>
        <v>0.23270195914720992</v>
      </c>
      <c r="L634" s="7"/>
    </row>
    <row r="635" spans="1:12" x14ac:dyDescent="0.25">
      <c r="A635" t="s">
        <v>18</v>
      </c>
      <c r="B635">
        <v>1986</v>
      </c>
      <c r="C635">
        <v>272477945632.05042</v>
      </c>
      <c r="D635">
        <v>62541245226.026367</v>
      </c>
      <c r="E635">
        <v>8369829</v>
      </c>
      <c r="F635" s="4">
        <v>1400</v>
      </c>
      <c r="G635">
        <f t="shared" si="41"/>
        <v>11717760600</v>
      </c>
      <c r="H635">
        <f t="shared" si="42"/>
        <v>23.253414618493778</v>
      </c>
      <c r="I635">
        <f t="shared" si="45"/>
        <v>279240878353.00964</v>
      </c>
      <c r="J635" s="6">
        <v>0.12</v>
      </c>
      <c r="K635" s="5">
        <f t="shared" si="43"/>
        <v>0.22952773326646039</v>
      </c>
      <c r="L635" s="7"/>
    </row>
    <row r="636" spans="1:12" x14ac:dyDescent="0.25">
      <c r="A636" t="s">
        <v>18</v>
      </c>
      <c r="B636">
        <v>1987</v>
      </c>
      <c r="C636">
        <v>281616428091.06543</v>
      </c>
      <c r="D636">
        <v>66358077296.262039</v>
      </c>
      <c r="E636">
        <v>8397804</v>
      </c>
      <c r="F636" s="4">
        <v>1408</v>
      </c>
      <c r="G636">
        <f t="shared" si="41"/>
        <v>11824108032</v>
      </c>
      <c r="H636">
        <f t="shared" si="42"/>
        <v>23.817139299549442</v>
      </c>
      <c r="I636">
        <f t="shared" si="45"/>
        <v>312090050246.91052</v>
      </c>
      <c r="J636" s="6">
        <v>0.12</v>
      </c>
      <c r="K636" s="5">
        <f t="shared" si="43"/>
        <v>0.23563283486716205</v>
      </c>
      <c r="L636" s="7"/>
    </row>
    <row r="637" spans="1:12" x14ac:dyDescent="0.25">
      <c r="A637" t="s">
        <v>18</v>
      </c>
      <c r="B637">
        <v>1988</v>
      </c>
      <c r="C637">
        <v>288823101483.14386</v>
      </c>
      <c r="D637">
        <v>70102400470.113678</v>
      </c>
      <c r="E637">
        <v>8436489</v>
      </c>
      <c r="F637" s="4">
        <v>1426</v>
      </c>
      <c r="G637">
        <f t="shared" si="41"/>
        <v>12030433314</v>
      </c>
      <c r="H637">
        <f t="shared" si="42"/>
        <v>24.007705619965989</v>
      </c>
      <c r="I637">
        <f t="shared" si="45"/>
        <v>344741644687.3949</v>
      </c>
      <c r="J637" s="6">
        <v>0.12</v>
      </c>
      <c r="K637" s="5">
        <f t="shared" si="43"/>
        <v>0.24271742845405653</v>
      </c>
      <c r="L637" s="7"/>
    </row>
    <row r="638" spans="1:12" x14ac:dyDescent="0.25">
      <c r="A638" t="s">
        <v>18</v>
      </c>
      <c r="B638">
        <v>1989</v>
      </c>
      <c r="C638">
        <v>296490797089.72961</v>
      </c>
      <c r="D638">
        <v>78116545767.658813</v>
      </c>
      <c r="E638">
        <v>8492964</v>
      </c>
      <c r="F638" s="4">
        <v>1424</v>
      </c>
      <c r="G638">
        <f t="shared" si="41"/>
        <v>12093980736</v>
      </c>
      <c r="H638">
        <f t="shared" si="42"/>
        <v>24.51556717030061</v>
      </c>
      <c r="I638">
        <f t="shared" si="45"/>
        <v>381489193092.56635</v>
      </c>
      <c r="J638" s="6">
        <v>0.12</v>
      </c>
      <c r="K638" s="5">
        <f t="shared" si="43"/>
        <v>0.26347038941656498</v>
      </c>
      <c r="L638" s="7"/>
    </row>
    <row r="639" spans="1:12" x14ac:dyDescent="0.25">
      <c r="A639" t="s">
        <v>18</v>
      </c>
      <c r="B639">
        <v>1990</v>
      </c>
      <c r="C639">
        <v>298728338303.95325</v>
      </c>
      <c r="D639">
        <v>78271295101.49826</v>
      </c>
      <c r="E639">
        <v>8558835</v>
      </c>
      <c r="F639" s="4">
        <v>1422</v>
      </c>
      <c r="G639">
        <f t="shared" si="41"/>
        <v>12170663370</v>
      </c>
      <c r="H639">
        <f t="shared" si="42"/>
        <v>24.544951184855034</v>
      </c>
      <c r="I639">
        <f t="shared" si="45"/>
        <v>413981785022.95667</v>
      </c>
      <c r="J639" s="6">
        <v>0.12</v>
      </c>
      <c r="K639" s="5">
        <f t="shared" si="43"/>
        <v>0.26201496498754651</v>
      </c>
      <c r="L639" s="7"/>
    </row>
    <row r="640" spans="1:12" x14ac:dyDescent="0.25">
      <c r="A640" t="s">
        <v>18</v>
      </c>
      <c r="B640">
        <v>1991</v>
      </c>
      <c r="C640">
        <v>295304986687.65619</v>
      </c>
      <c r="D640">
        <v>71372833334.436646</v>
      </c>
      <c r="E640">
        <v>8617375</v>
      </c>
      <c r="F640" s="4">
        <v>1410</v>
      </c>
      <c r="G640">
        <f t="shared" si="41"/>
        <v>12150498750</v>
      </c>
      <c r="H640">
        <f t="shared" si="42"/>
        <v>24.303939514224155</v>
      </c>
      <c r="I640">
        <f t="shared" si="45"/>
        <v>435676804154.63849</v>
      </c>
      <c r="J640" s="6">
        <v>0.12</v>
      </c>
      <c r="K640" s="5">
        <f t="shared" si="43"/>
        <v>0.24169193393922475</v>
      </c>
      <c r="L640" s="7"/>
    </row>
    <row r="641" spans="1:12" x14ac:dyDescent="0.25">
      <c r="A641" t="s">
        <v>18</v>
      </c>
      <c r="B641">
        <v>1992</v>
      </c>
      <c r="C641">
        <v>291883604521.6817</v>
      </c>
      <c r="D641">
        <v>63834003111.499207</v>
      </c>
      <c r="E641">
        <v>8668067</v>
      </c>
      <c r="F641" s="4">
        <v>1425</v>
      </c>
      <c r="G641">
        <f t="shared" si="41"/>
        <v>12351995475</v>
      </c>
      <c r="H641">
        <f t="shared" si="42"/>
        <v>23.630481820726356</v>
      </c>
      <c r="I641">
        <f t="shared" si="45"/>
        <v>447229590767.58105</v>
      </c>
      <c r="J641" s="6">
        <v>0.12</v>
      </c>
      <c r="K641" s="5">
        <f t="shared" si="43"/>
        <v>0.2186967754358998</v>
      </c>
      <c r="L641" s="7"/>
    </row>
    <row r="642" spans="1:12" x14ac:dyDescent="0.25">
      <c r="A642" t="s">
        <v>18</v>
      </c>
      <c r="B642">
        <v>1993</v>
      </c>
      <c r="C642">
        <v>285854408950.02057</v>
      </c>
      <c r="D642">
        <v>53027882189.833916</v>
      </c>
      <c r="E642">
        <v>8718561</v>
      </c>
      <c r="F642" s="4">
        <v>1441</v>
      </c>
      <c r="G642">
        <f t="shared" si="41"/>
        <v>12563446401</v>
      </c>
      <c r="H642">
        <f t="shared" si="42"/>
        <v>22.752865720608934</v>
      </c>
      <c r="I642">
        <f t="shared" si="45"/>
        <v>446589922065.30524</v>
      </c>
      <c r="J642" s="6">
        <v>0.12</v>
      </c>
      <c r="K642" s="5">
        <f t="shared" si="43"/>
        <v>0.18550660941215508</v>
      </c>
      <c r="L642" s="7"/>
    </row>
    <row r="643" spans="1:12" x14ac:dyDescent="0.25">
      <c r="A643" t="s">
        <v>18</v>
      </c>
      <c r="B643">
        <v>1994</v>
      </c>
      <c r="C643">
        <v>297333335691.27802</v>
      </c>
      <c r="D643">
        <v>57060542161.97921</v>
      </c>
      <c r="E643">
        <v>8780745</v>
      </c>
      <c r="F643" s="4">
        <v>1476</v>
      </c>
      <c r="G643">
        <f t="shared" ref="G643:G706" si="46">E643*F643</f>
        <v>12960379620</v>
      </c>
      <c r="H643">
        <f t="shared" ref="H643:H706" si="47">C643/G643</f>
        <v>22.941715012147</v>
      </c>
      <c r="I643">
        <f t="shared" si="45"/>
        <v>450059673579.44781</v>
      </c>
      <c r="J643" s="6">
        <v>0.12</v>
      </c>
      <c r="K643" s="5">
        <f t="shared" ref="K643:K706" si="48">D643/C643</f>
        <v>0.19190765148925421</v>
      </c>
      <c r="L643" s="7"/>
    </row>
    <row r="644" spans="1:12" x14ac:dyDescent="0.25">
      <c r="A644" t="s">
        <v>18</v>
      </c>
      <c r="B644">
        <v>1995</v>
      </c>
      <c r="C644">
        <v>309506914307.51154</v>
      </c>
      <c r="D644">
        <v>61759386963.338341</v>
      </c>
      <c r="E644">
        <v>8826939</v>
      </c>
      <c r="F644" s="4">
        <v>1481</v>
      </c>
      <c r="G644">
        <f t="shared" si="46"/>
        <v>13072696659</v>
      </c>
      <c r="H644">
        <f t="shared" si="47"/>
        <v>23.675827748548659</v>
      </c>
      <c r="I644">
        <f t="shared" si="45"/>
        <v>457811899713.25238</v>
      </c>
      <c r="J644" s="6">
        <v>0.12</v>
      </c>
      <c r="K644" s="5">
        <f t="shared" si="48"/>
        <v>0.19954121897896315</v>
      </c>
      <c r="L644" s="7"/>
    </row>
    <row r="645" spans="1:12" x14ac:dyDescent="0.25">
      <c r="A645" t="s">
        <v>18</v>
      </c>
      <c r="B645">
        <v>1996</v>
      </c>
      <c r="C645">
        <v>314783454064.38702</v>
      </c>
      <c r="D645">
        <v>64939992208.902649</v>
      </c>
      <c r="E645">
        <v>8840998</v>
      </c>
      <c r="F645" s="4">
        <v>1493</v>
      </c>
      <c r="G645">
        <f t="shared" si="46"/>
        <v>13199610014</v>
      </c>
      <c r="H645">
        <f t="shared" si="47"/>
        <v>23.847935941328259</v>
      </c>
      <c r="I645">
        <f t="shared" si="45"/>
        <v>467814463956.56476</v>
      </c>
      <c r="J645" s="6">
        <v>0.12</v>
      </c>
      <c r="K645" s="5">
        <f t="shared" si="48"/>
        <v>0.20630052618845579</v>
      </c>
      <c r="L645" s="7"/>
    </row>
    <row r="646" spans="1:12" x14ac:dyDescent="0.25">
      <c r="A646" t="s">
        <v>18</v>
      </c>
      <c r="B646">
        <v>1997</v>
      </c>
      <c r="C646">
        <v>324431161307.23267</v>
      </c>
      <c r="D646">
        <v>65772829975.353287</v>
      </c>
      <c r="E646">
        <v>8846062</v>
      </c>
      <c r="F646" s="4">
        <v>1497</v>
      </c>
      <c r="G646">
        <f t="shared" si="46"/>
        <v>13242554814</v>
      </c>
      <c r="H646">
        <f t="shared" si="47"/>
        <v>24.499136749975523</v>
      </c>
      <c r="I646">
        <f t="shared" si="45"/>
        <v>477449558257.13025</v>
      </c>
      <c r="J646" s="6">
        <v>0.12</v>
      </c>
      <c r="K646" s="5">
        <f t="shared" si="48"/>
        <v>0.20273277606976586</v>
      </c>
      <c r="L646" s="7"/>
    </row>
    <row r="647" spans="1:12" x14ac:dyDescent="0.25">
      <c r="A647" t="s">
        <v>18</v>
      </c>
      <c r="B647">
        <v>1998</v>
      </c>
      <c r="C647">
        <v>338205617434.59088</v>
      </c>
      <c r="D647">
        <v>70861990737.031372</v>
      </c>
      <c r="E647">
        <v>8850974</v>
      </c>
      <c r="F647" s="4">
        <v>1496</v>
      </c>
      <c r="G647">
        <f t="shared" si="46"/>
        <v>13241057104</v>
      </c>
      <c r="H647">
        <f t="shared" si="47"/>
        <v>25.542191592272651</v>
      </c>
      <c r="I647">
        <f t="shared" si="45"/>
        <v>491017602003.30597</v>
      </c>
      <c r="J647" s="6">
        <v>0.12</v>
      </c>
      <c r="K647" s="5">
        <f t="shared" si="48"/>
        <v>0.20952339962459704</v>
      </c>
      <c r="L647" s="7"/>
    </row>
    <row r="648" spans="1:12" x14ac:dyDescent="0.25">
      <c r="A648" t="s">
        <v>18</v>
      </c>
      <c r="B648">
        <v>1999</v>
      </c>
      <c r="C648">
        <v>352413884474.60321</v>
      </c>
      <c r="D648">
        <v>74961589375.970337</v>
      </c>
      <c r="E648">
        <v>8857874</v>
      </c>
      <c r="F648" s="4">
        <v>1504</v>
      </c>
      <c r="G648">
        <f t="shared" si="46"/>
        <v>13322242496</v>
      </c>
      <c r="H648">
        <f t="shared" si="47"/>
        <v>26.453045317289142</v>
      </c>
      <c r="I648">
        <f t="shared" si="45"/>
        <v>507057079138.87958</v>
      </c>
      <c r="J648" s="6">
        <v>0.12</v>
      </c>
      <c r="K648" s="5">
        <f t="shared" si="48"/>
        <v>0.21270895579987417</v>
      </c>
      <c r="L648" s="7"/>
    </row>
    <row r="649" spans="1:12" x14ac:dyDescent="0.25">
      <c r="A649" t="s">
        <v>18</v>
      </c>
      <c r="B649">
        <v>2000</v>
      </c>
      <c r="C649">
        <v>368734580231.65613</v>
      </c>
      <c r="D649">
        <v>79300117834.667786</v>
      </c>
      <c r="E649">
        <v>8872109</v>
      </c>
      <c r="F649" s="4">
        <v>1485</v>
      </c>
      <c r="G649">
        <f t="shared" si="46"/>
        <v>13175081865</v>
      </c>
      <c r="H649">
        <f t="shared" si="47"/>
        <v>27.987270516414064</v>
      </c>
      <c r="I649">
        <f t="shared" si="45"/>
        <v>525510347476.88184</v>
      </c>
      <c r="J649" s="6">
        <v>0.12</v>
      </c>
      <c r="K649" s="5">
        <f t="shared" si="48"/>
        <v>0.21506016003394035</v>
      </c>
      <c r="L649" s="7"/>
    </row>
    <row r="650" spans="1:12" x14ac:dyDescent="0.25">
      <c r="A650" t="s">
        <v>18</v>
      </c>
      <c r="B650">
        <v>2001</v>
      </c>
      <c r="C650">
        <v>373752198445.94965</v>
      </c>
      <c r="D650">
        <v>81277426871.026794</v>
      </c>
      <c r="E650">
        <v>8895960</v>
      </c>
      <c r="F650" s="4">
        <v>1465</v>
      </c>
      <c r="G650">
        <f t="shared" si="46"/>
        <v>13032581400</v>
      </c>
      <c r="H650">
        <f t="shared" si="47"/>
        <v>28.678293806471039</v>
      </c>
      <c r="I650">
        <f t="shared" si="45"/>
        <v>543726532650.6828</v>
      </c>
      <c r="J650" s="6">
        <v>0.12</v>
      </c>
      <c r="K650" s="5">
        <f t="shared" si="48"/>
        <v>0.21746340813238257</v>
      </c>
      <c r="L650" s="7"/>
    </row>
    <row r="651" spans="1:12" x14ac:dyDescent="0.25">
      <c r="A651" t="s">
        <v>18</v>
      </c>
      <c r="B651">
        <v>2002</v>
      </c>
      <c r="C651">
        <v>382265044440.17859</v>
      </c>
      <c r="D651">
        <v>80580601866.721725</v>
      </c>
      <c r="E651">
        <v>8924958</v>
      </c>
      <c r="F651" s="4">
        <v>1443</v>
      </c>
      <c r="G651">
        <f t="shared" si="46"/>
        <v>12878714394</v>
      </c>
      <c r="H651">
        <f t="shared" si="47"/>
        <v>29.681925753262309</v>
      </c>
      <c r="I651">
        <f t="shared" si="45"/>
        <v>559059950599.32263</v>
      </c>
      <c r="J651" s="6">
        <v>0.12</v>
      </c>
      <c r="K651" s="5">
        <f t="shared" si="48"/>
        <v>0.21079772539686648</v>
      </c>
      <c r="L651" s="7"/>
    </row>
    <row r="652" spans="1:12" x14ac:dyDescent="0.25">
      <c r="A652" t="s">
        <v>18</v>
      </c>
      <c r="B652">
        <v>2003</v>
      </c>
      <c r="C652">
        <v>389455236312.00702</v>
      </c>
      <c r="D652">
        <v>81498741183.517761</v>
      </c>
      <c r="E652">
        <v>8958229</v>
      </c>
      <c r="F652" s="4">
        <v>1431</v>
      </c>
      <c r="G652">
        <f t="shared" si="46"/>
        <v>12819225699</v>
      </c>
      <c r="H652">
        <f t="shared" si="47"/>
        <v>30.380558503029366</v>
      </c>
      <c r="I652">
        <f t="shared" si="45"/>
        <v>573471497710.92163</v>
      </c>
      <c r="J652" s="6">
        <v>0.12</v>
      </c>
      <c r="K652" s="5">
        <f t="shared" si="48"/>
        <v>0.20926343667960365</v>
      </c>
      <c r="L652" s="7"/>
    </row>
    <row r="653" spans="1:12" x14ac:dyDescent="0.25">
      <c r="A653" t="s">
        <v>18</v>
      </c>
      <c r="B653">
        <v>2004</v>
      </c>
      <c r="C653">
        <v>405732636290.60767</v>
      </c>
      <c r="D653">
        <v>85863532734.119034</v>
      </c>
      <c r="E653">
        <v>8993531</v>
      </c>
      <c r="F653" s="4">
        <v>1452</v>
      </c>
      <c r="G653">
        <f t="shared" si="46"/>
        <v>13058607012</v>
      </c>
      <c r="H653">
        <f t="shared" si="47"/>
        <v>31.07013144034169</v>
      </c>
      <c r="I653">
        <f t="shared" si="45"/>
        <v>590518450719.7301</v>
      </c>
      <c r="J653" s="6">
        <v>0.12</v>
      </c>
      <c r="K653" s="5">
        <f t="shared" si="48"/>
        <v>0.2116258961051852</v>
      </c>
      <c r="L653" s="7"/>
    </row>
    <row r="654" spans="1:12" x14ac:dyDescent="0.25">
      <c r="A654" t="s">
        <v>18</v>
      </c>
      <c r="B654">
        <v>2005</v>
      </c>
      <c r="C654">
        <v>417065466380.56494</v>
      </c>
      <c r="D654">
        <v>88580904697.96463</v>
      </c>
      <c r="E654">
        <v>9029572</v>
      </c>
      <c r="F654" s="4">
        <v>1451</v>
      </c>
      <c r="G654">
        <f t="shared" si="46"/>
        <v>13101908972</v>
      </c>
      <c r="H654">
        <f t="shared" si="47"/>
        <v>31.832419784923914</v>
      </c>
      <c r="I654">
        <f t="shared" si="45"/>
        <v>608237141331.32715</v>
      </c>
      <c r="J654" s="6">
        <v>0.12</v>
      </c>
      <c r="K654" s="5">
        <f t="shared" si="48"/>
        <v>0.21239088785436891</v>
      </c>
      <c r="L654" s="7"/>
    </row>
    <row r="655" spans="1:12" x14ac:dyDescent="0.25">
      <c r="A655" t="s">
        <v>18</v>
      </c>
      <c r="B655">
        <v>2006</v>
      </c>
      <c r="C655">
        <v>436567442203.26624</v>
      </c>
      <c r="D655">
        <v>97516321677.281281</v>
      </c>
      <c r="E655">
        <v>9080505</v>
      </c>
      <c r="F655" s="4">
        <v>1450</v>
      </c>
      <c r="G655">
        <f t="shared" si="46"/>
        <v>13166732250</v>
      </c>
      <c r="H655">
        <f t="shared" si="47"/>
        <v>33.156855772112038</v>
      </c>
      <c r="I655">
        <f t="shared" si="45"/>
        <v>632765006048.84912</v>
      </c>
      <c r="J655" s="6">
        <v>0.12</v>
      </c>
      <c r="K655" s="5">
        <f t="shared" si="48"/>
        <v>0.22337057748772202</v>
      </c>
      <c r="L655" s="7"/>
    </row>
    <row r="656" spans="1:12" x14ac:dyDescent="0.25">
      <c r="A656" t="s">
        <v>18</v>
      </c>
      <c r="B656">
        <v>2007</v>
      </c>
      <c r="C656">
        <v>450646355053.72614</v>
      </c>
      <c r="D656">
        <v>105745518809.92822</v>
      </c>
      <c r="E656">
        <v>9148092</v>
      </c>
      <c r="F656" s="4">
        <v>1461</v>
      </c>
      <c r="G656">
        <f t="shared" si="46"/>
        <v>13365362412</v>
      </c>
      <c r="H656">
        <f t="shared" si="47"/>
        <v>33.717481139839229</v>
      </c>
      <c r="I656">
        <f t="shared" si="45"/>
        <v>662578724132.91541</v>
      </c>
      <c r="J656" s="6">
        <v>0.12</v>
      </c>
      <c r="K656" s="5">
        <f t="shared" si="48"/>
        <v>0.23465299923999436</v>
      </c>
      <c r="L656" s="7"/>
    </row>
    <row r="657" spans="1:12" x14ac:dyDescent="0.25">
      <c r="A657" t="s">
        <v>18</v>
      </c>
      <c r="B657">
        <v>2008</v>
      </c>
      <c r="C657">
        <v>446486334527.75098</v>
      </c>
      <c r="D657">
        <v>106243342430.19214</v>
      </c>
      <c r="E657">
        <v>9219637</v>
      </c>
      <c r="F657" s="4">
        <v>1471</v>
      </c>
      <c r="G657">
        <f t="shared" si="46"/>
        <v>13562086027</v>
      </c>
      <c r="H657">
        <f t="shared" si="47"/>
        <v>32.921656273147526</v>
      </c>
      <c r="I657">
        <f t="shared" si="45"/>
        <v>689312619667.15771</v>
      </c>
      <c r="J657" s="6">
        <v>0.12</v>
      </c>
      <c r="K657" s="5">
        <f t="shared" si="48"/>
        <v>0.23795429829350953</v>
      </c>
      <c r="L657" s="7"/>
    </row>
    <row r="658" spans="1:12" x14ac:dyDescent="0.25">
      <c r="A658" t="s">
        <v>18</v>
      </c>
      <c r="B658">
        <v>2009</v>
      </c>
      <c r="C658">
        <v>427485779310.79321</v>
      </c>
      <c r="D658">
        <v>93139786573.724182</v>
      </c>
      <c r="E658">
        <v>9298515</v>
      </c>
      <c r="F658" s="4">
        <v>1457</v>
      </c>
      <c r="G658">
        <f t="shared" si="46"/>
        <v>13547936355</v>
      </c>
      <c r="H658">
        <f t="shared" si="47"/>
        <v>31.553571563172081</v>
      </c>
      <c r="I658">
        <f t="shared" si="45"/>
        <v>699734891880.823</v>
      </c>
      <c r="J658" s="6">
        <v>0.12</v>
      </c>
      <c r="K658" s="5">
        <f t="shared" si="48"/>
        <v>0.21787809345117221</v>
      </c>
      <c r="L658" s="7"/>
    </row>
    <row r="659" spans="1:12" x14ac:dyDescent="0.25">
      <c r="A659" t="s">
        <v>18</v>
      </c>
      <c r="B659">
        <v>2010</v>
      </c>
      <c r="C659">
        <v>452069357246.31836</v>
      </c>
      <c r="D659">
        <v>98737660550.599258</v>
      </c>
      <c r="E659">
        <v>9378126</v>
      </c>
      <c r="F659" s="4">
        <v>1483</v>
      </c>
      <c r="G659">
        <f t="shared" si="46"/>
        <v>13907760858</v>
      </c>
      <c r="H659">
        <f t="shared" si="47"/>
        <v>32.504826755507501</v>
      </c>
      <c r="I659">
        <f t="shared" si="45"/>
        <v>714504365405.72351</v>
      </c>
      <c r="J659" s="6">
        <v>0.12</v>
      </c>
      <c r="K659" s="5">
        <f t="shared" si="48"/>
        <v>0.21841263728211557</v>
      </c>
      <c r="L659" s="7"/>
    </row>
    <row r="660" spans="1:12" x14ac:dyDescent="0.25">
      <c r="A660" t="s">
        <v>18</v>
      </c>
      <c r="B660">
        <v>2011</v>
      </c>
      <c r="C660">
        <v>466372427023.66748</v>
      </c>
      <c r="D660">
        <v>104321014988.52631</v>
      </c>
      <c r="E660">
        <v>9449213</v>
      </c>
      <c r="F660" s="4">
        <v>1484</v>
      </c>
      <c r="G660">
        <f t="shared" si="46"/>
        <v>14022632092</v>
      </c>
      <c r="H660">
        <f t="shared" si="47"/>
        <v>33.25855117383675</v>
      </c>
      <c r="I660">
        <f t="shared" si="45"/>
        <v>733084856545.56299</v>
      </c>
      <c r="J660" s="6">
        <v>0.12</v>
      </c>
      <c r="K660" s="5">
        <f t="shared" si="48"/>
        <v>0.22368606920930217</v>
      </c>
      <c r="L660" s="7"/>
    </row>
    <row r="661" spans="1:12" x14ac:dyDescent="0.25">
      <c r="A661" t="s">
        <v>18</v>
      </c>
      <c r="B661">
        <v>2012</v>
      </c>
      <c r="C661">
        <v>464439473181.12811</v>
      </c>
      <c r="D661">
        <v>103305510230.43414</v>
      </c>
      <c r="E661">
        <v>9519374</v>
      </c>
      <c r="F661" s="4">
        <v>1471</v>
      </c>
      <c r="G661">
        <f t="shared" si="46"/>
        <v>14002999154</v>
      </c>
      <c r="H661">
        <f t="shared" si="47"/>
        <v>33.167142843714274</v>
      </c>
      <c r="I661">
        <f t="shared" si="45"/>
        <v>748420183990.52954</v>
      </c>
      <c r="J661" s="6">
        <v>0.12</v>
      </c>
      <c r="K661" s="5">
        <f t="shared" si="48"/>
        <v>0.22243051289946175</v>
      </c>
      <c r="L661" s="7"/>
    </row>
    <row r="662" spans="1:12" x14ac:dyDescent="0.25">
      <c r="A662" t="s">
        <v>18</v>
      </c>
      <c r="B662">
        <v>2013</v>
      </c>
      <c r="C662">
        <v>469723477690.59869</v>
      </c>
      <c r="D662">
        <v>103270492853.59962</v>
      </c>
      <c r="E662">
        <v>9600379</v>
      </c>
      <c r="F662" s="4">
        <v>1463</v>
      </c>
      <c r="G662">
        <f t="shared" si="46"/>
        <v>14045354477</v>
      </c>
      <c r="H662">
        <f t="shared" si="47"/>
        <v>33.443333769880667</v>
      </c>
      <c r="I662">
        <f t="shared" si="45"/>
        <v>761880254765.26563</v>
      </c>
      <c r="J662" s="6">
        <v>0.12</v>
      </c>
      <c r="K662" s="5">
        <f t="shared" si="48"/>
        <v>0.21985380284019501</v>
      </c>
      <c r="L662" s="7"/>
    </row>
    <row r="663" spans="1:12" x14ac:dyDescent="0.25">
      <c r="A663" t="s">
        <v>18</v>
      </c>
      <c r="B663">
        <v>2014</v>
      </c>
      <c r="C663">
        <v>480507219292.5199</v>
      </c>
      <c r="D663">
        <v>109032457419.41983</v>
      </c>
      <c r="E663">
        <v>9696110</v>
      </c>
      <c r="F663" s="4">
        <v>1464</v>
      </c>
      <c r="G663">
        <f t="shared" si="46"/>
        <v>14195105040</v>
      </c>
      <c r="H663">
        <f t="shared" si="47"/>
        <v>33.850205260088721</v>
      </c>
      <c r="I663">
        <f t="shared" si="45"/>
        <v>779487081612.85352</v>
      </c>
      <c r="J663" s="6">
        <v>0.12</v>
      </c>
      <c r="K663" s="5">
        <f t="shared" si="48"/>
        <v>0.22691117436269734</v>
      </c>
      <c r="L663" s="7"/>
    </row>
    <row r="664" spans="1:12" x14ac:dyDescent="0.25">
      <c r="A664" t="s">
        <v>18</v>
      </c>
      <c r="B664">
        <v>2015</v>
      </c>
      <c r="C664">
        <v>501698263620.66321</v>
      </c>
      <c r="D664">
        <v>116589277667.65807</v>
      </c>
      <c r="E664">
        <v>9799186</v>
      </c>
      <c r="F664" s="4">
        <v>1465</v>
      </c>
      <c r="G664">
        <f t="shared" si="46"/>
        <v>14355807490</v>
      </c>
      <c r="H664">
        <f t="shared" si="47"/>
        <v>34.947408146155297</v>
      </c>
      <c r="I664">
        <f t="shared" si="45"/>
        <v>802537909486.96912</v>
      </c>
      <c r="J664" s="6">
        <v>0.12</v>
      </c>
      <c r="K664" s="5">
        <f t="shared" si="48"/>
        <v>0.23238923895461566</v>
      </c>
      <c r="L664" s="7"/>
    </row>
    <row r="665" spans="1:12" x14ac:dyDescent="0.25">
      <c r="A665" t="s">
        <v>18</v>
      </c>
      <c r="B665">
        <v>2016</v>
      </c>
      <c r="C665">
        <v>513486872435.54993</v>
      </c>
      <c r="D665">
        <v>122507753070.6221</v>
      </c>
      <c r="E665">
        <v>9923085</v>
      </c>
      <c r="F665" s="4">
        <v>1478</v>
      </c>
      <c r="G665">
        <f t="shared" si="46"/>
        <v>14666319630</v>
      </c>
      <c r="H665">
        <f t="shared" si="47"/>
        <v>35.011296998137901</v>
      </c>
      <c r="I665">
        <f t="shared" si="45"/>
        <v>828741113419.15491</v>
      </c>
      <c r="J665" s="6">
        <v>0.12</v>
      </c>
      <c r="K665" s="5">
        <f t="shared" si="48"/>
        <v>0.2385801071983561</v>
      </c>
      <c r="L665" s="7"/>
    </row>
    <row r="666" spans="1:12" x14ac:dyDescent="0.25">
      <c r="A666" t="s">
        <v>18</v>
      </c>
      <c r="B666">
        <v>2017</v>
      </c>
      <c r="C666">
        <v>522858808973.77148</v>
      </c>
      <c r="D666">
        <v>127492288502.97418</v>
      </c>
      <c r="E666">
        <v>10057698</v>
      </c>
      <c r="F666" s="4">
        <v>1466</v>
      </c>
      <c r="G666">
        <f t="shared" si="46"/>
        <v>14744585268</v>
      </c>
      <c r="H666">
        <f t="shared" si="47"/>
        <v>35.461072622268041</v>
      </c>
      <c r="I666">
        <f t="shared" si="45"/>
        <v>856784468311.83057</v>
      </c>
      <c r="J666" s="6">
        <v>0.12</v>
      </c>
      <c r="K666" s="5">
        <f t="shared" si="48"/>
        <v>0.2438369332501189</v>
      </c>
      <c r="L666" s="7"/>
    </row>
    <row r="667" spans="1:12" x14ac:dyDescent="0.25">
      <c r="A667" t="s">
        <v>18</v>
      </c>
      <c r="B667">
        <v>2018</v>
      </c>
      <c r="C667">
        <v>532808626955.91278</v>
      </c>
      <c r="D667">
        <v>129239955980.20082</v>
      </c>
      <c r="E667">
        <v>10175214</v>
      </c>
      <c r="F667" s="4">
        <v>1465</v>
      </c>
      <c r="G667">
        <f t="shared" si="46"/>
        <v>14906688510</v>
      </c>
      <c r="H667">
        <f t="shared" si="47"/>
        <v>35.742923493603797</v>
      </c>
      <c r="I667">
        <f t="shared" si="45"/>
        <v>883210288094.61169</v>
      </c>
      <c r="J667" s="6">
        <v>0.12</v>
      </c>
      <c r="K667" s="5">
        <f t="shared" si="48"/>
        <v>0.24256355742320737</v>
      </c>
      <c r="L667" s="7"/>
    </row>
    <row r="668" spans="1:12" x14ac:dyDescent="0.25">
      <c r="A668" t="s">
        <v>18</v>
      </c>
      <c r="B668">
        <v>2019</v>
      </c>
      <c r="C668">
        <v>546393370671.19141</v>
      </c>
      <c r="D668">
        <v>129320239771.36896</v>
      </c>
      <c r="E668">
        <v>10278887</v>
      </c>
      <c r="F668" s="4">
        <v>1453</v>
      </c>
      <c r="G668">
        <f t="shared" si="46"/>
        <v>14935222811</v>
      </c>
      <c r="H668">
        <f t="shared" si="47"/>
        <v>36.584212876205974</v>
      </c>
      <c r="I668">
        <f t="shared" si="45"/>
        <v>906545293294.6272</v>
      </c>
      <c r="J668" s="6">
        <v>0.12</v>
      </c>
      <c r="K668" s="5">
        <f t="shared" si="48"/>
        <v>0.23667973791942526</v>
      </c>
      <c r="L668" s="7"/>
    </row>
    <row r="669" spans="1:12" x14ac:dyDescent="0.25">
      <c r="A669" t="s">
        <v>18</v>
      </c>
      <c r="B669">
        <v>2020</v>
      </c>
      <c r="C669">
        <v>535436339492.27863</v>
      </c>
      <c r="D669">
        <v>131447333732.53735</v>
      </c>
      <c r="E669">
        <v>10353442</v>
      </c>
      <c r="F669" s="4">
        <v>1426</v>
      </c>
      <c r="G669">
        <f t="shared" si="46"/>
        <v>14764008292</v>
      </c>
      <c r="H669">
        <f t="shared" si="47"/>
        <v>36.266326115680201</v>
      </c>
      <c r="I669">
        <f t="shared" si="45"/>
        <v>929207191831.80933</v>
      </c>
      <c r="J669" s="6">
        <v>0.12</v>
      </c>
      <c r="K669" s="5">
        <f t="shared" si="48"/>
        <v>0.24549572757273214</v>
      </c>
      <c r="L669" s="7"/>
    </row>
    <row r="670" spans="1:12" x14ac:dyDescent="0.25">
      <c r="A670" t="s">
        <v>18</v>
      </c>
      <c r="B670">
        <v>2021</v>
      </c>
      <c r="C670">
        <v>567227918052.9884</v>
      </c>
      <c r="D670">
        <v>141042743367.31705</v>
      </c>
      <c r="E670">
        <v>10415811</v>
      </c>
      <c r="F670" s="4">
        <v>1447</v>
      </c>
      <c r="G670">
        <f t="shared" si="46"/>
        <v>15071678517</v>
      </c>
      <c r="H670">
        <f t="shared" si="47"/>
        <v>37.635351458245836</v>
      </c>
      <c r="I670">
        <f t="shared" si="45"/>
        <v>958745072179.3092</v>
      </c>
      <c r="J670" s="6">
        <v>0.12</v>
      </c>
      <c r="K670" s="5">
        <f t="shared" si="48"/>
        <v>0.24865268241987579</v>
      </c>
      <c r="L670" s="7"/>
    </row>
    <row r="671" spans="1:12" x14ac:dyDescent="0.25">
      <c r="A671" t="s">
        <v>18</v>
      </c>
      <c r="B671">
        <v>2022</v>
      </c>
      <c r="C671">
        <v>575505409872.87952</v>
      </c>
      <c r="D671">
        <v>141408290988.3006</v>
      </c>
      <c r="E671">
        <v>10486941</v>
      </c>
      <c r="F671" s="4">
        <v>1440</v>
      </c>
      <c r="G671">
        <f t="shared" si="46"/>
        <v>15101195040</v>
      </c>
      <c r="H671">
        <f t="shared" si="47"/>
        <v>38.109924966102518</v>
      </c>
      <c r="I671">
        <f t="shared" si="45"/>
        <v>985103954506.09277</v>
      </c>
      <c r="J671" s="6">
        <v>0.12</v>
      </c>
      <c r="K671" s="5">
        <f t="shared" si="48"/>
        <v>0.2457114886540086</v>
      </c>
      <c r="L671" s="7"/>
    </row>
    <row r="672" spans="1:12" x14ac:dyDescent="0.25">
      <c r="A672" t="s">
        <v>19</v>
      </c>
      <c r="B672">
        <v>1991</v>
      </c>
      <c r="C672">
        <v>466206071277.77728</v>
      </c>
      <c r="D672">
        <v>120770809468.02638</v>
      </c>
      <c r="E672">
        <v>6799978</v>
      </c>
      <c r="F672" s="4">
        <v>1718.1</v>
      </c>
      <c r="G672">
        <f t="shared" si="46"/>
        <v>11683042201.799999</v>
      </c>
      <c r="H672">
        <f t="shared" si="47"/>
        <v>39.904509735139804</v>
      </c>
      <c r="I672">
        <f>D672</f>
        <v>120770809468.02638</v>
      </c>
      <c r="J672" s="6">
        <v>0.12</v>
      </c>
      <c r="K672" s="5">
        <f t="shared" si="48"/>
        <v>0.25905027177577894</v>
      </c>
      <c r="L672" s="7"/>
    </row>
    <row r="673" spans="1:12" x14ac:dyDescent="0.25">
      <c r="A673" t="s">
        <v>19</v>
      </c>
      <c r="B673">
        <v>1992</v>
      </c>
      <c r="C673">
        <v>466002185360.3241</v>
      </c>
      <c r="D673">
        <v>111043157104.47424</v>
      </c>
      <c r="E673">
        <v>6875364</v>
      </c>
      <c r="F673" s="4">
        <v>1725.4</v>
      </c>
      <c r="G673">
        <f t="shared" si="46"/>
        <v>11862753045.6</v>
      </c>
      <c r="H673">
        <f t="shared" si="47"/>
        <v>39.282802530662849</v>
      </c>
      <c r="I673">
        <f>I672-(I672*J672)+D673</f>
        <v>217321469436.33746</v>
      </c>
      <c r="J673" s="6">
        <v>0.12</v>
      </c>
      <c r="K673" s="5">
        <f t="shared" si="48"/>
        <v>0.2382889192217264</v>
      </c>
      <c r="L673" s="7"/>
    </row>
    <row r="674" spans="1:12" x14ac:dyDescent="0.25">
      <c r="A674" t="s">
        <v>19</v>
      </c>
      <c r="B674">
        <v>1993</v>
      </c>
      <c r="C674">
        <v>465415099988.27972</v>
      </c>
      <c r="D674">
        <v>107178446836.54688</v>
      </c>
      <c r="E674">
        <v>6938265</v>
      </c>
      <c r="F674" s="4">
        <v>1720.4</v>
      </c>
      <c r="G674">
        <f t="shared" si="46"/>
        <v>11936591106</v>
      </c>
      <c r="H674">
        <f t="shared" si="47"/>
        <v>38.990621011918215</v>
      </c>
      <c r="I674">
        <f t="shared" ref="I674:I703" si="49">I673-(I673*J673)+D674</f>
        <v>298421339940.5238</v>
      </c>
      <c r="J674" s="6">
        <v>0.12</v>
      </c>
      <c r="K674" s="5">
        <f t="shared" si="48"/>
        <v>0.23028571019557786</v>
      </c>
      <c r="L674" s="7"/>
    </row>
    <row r="675" spans="1:12" x14ac:dyDescent="0.25">
      <c r="A675" t="s">
        <v>19</v>
      </c>
      <c r="B675">
        <v>1994</v>
      </c>
      <c r="C675">
        <v>471324743945.93372</v>
      </c>
      <c r="D675">
        <v>111408378238.52185</v>
      </c>
      <c r="E675">
        <v>6993795</v>
      </c>
      <c r="F675" s="4">
        <v>1739.7</v>
      </c>
      <c r="G675">
        <f t="shared" si="46"/>
        <v>12167105161.5</v>
      </c>
      <c r="H675">
        <f t="shared" si="47"/>
        <v>38.73762392038266</v>
      </c>
      <c r="I675">
        <f t="shared" si="49"/>
        <v>374019157386.1828</v>
      </c>
      <c r="J675" s="6">
        <v>0.12</v>
      </c>
      <c r="K675" s="5">
        <f t="shared" si="48"/>
        <v>0.23637286111017683</v>
      </c>
      <c r="L675" s="7"/>
    </row>
    <row r="676" spans="1:12" x14ac:dyDescent="0.25">
      <c r="A676" t="s">
        <v>19</v>
      </c>
      <c r="B676">
        <v>1995</v>
      </c>
      <c r="C676">
        <v>473591186505.1665</v>
      </c>
      <c r="D676">
        <v>116764253139.67818</v>
      </c>
      <c r="E676">
        <v>7040687</v>
      </c>
      <c r="F676" s="4">
        <v>1720.3</v>
      </c>
      <c r="G676">
        <f t="shared" si="46"/>
        <v>12112093846.1</v>
      </c>
      <c r="H676">
        <f t="shared" si="47"/>
        <v>39.100686679178857</v>
      </c>
      <c r="I676">
        <f t="shared" si="49"/>
        <v>445901111639.51904</v>
      </c>
      <c r="J676" s="6">
        <v>0.12</v>
      </c>
      <c r="K676" s="5">
        <f t="shared" si="48"/>
        <v>0.24655073081349324</v>
      </c>
      <c r="L676" s="7"/>
    </row>
    <row r="677" spans="1:12" x14ac:dyDescent="0.25">
      <c r="A677" t="s">
        <v>19</v>
      </c>
      <c r="B677">
        <v>1996</v>
      </c>
      <c r="C677">
        <v>475823127148.12787</v>
      </c>
      <c r="D677">
        <v>115302471869.54776</v>
      </c>
      <c r="E677">
        <v>7071850</v>
      </c>
      <c r="F677" s="4">
        <v>1696.9</v>
      </c>
      <c r="G677">
        <f t="shared" si="46"/>
        <v>12000222265</v>
      </c>
      <c r="H677">
        <f t="shared" si="47"/>
        <v>39.651192839645944</v>
      </c>
      <c r="I677">
        <f t="shared" si="49"/>
        <v>507695450112.32446</v>
      </c>
      <c r="J677" s="6">
        <v>0.12</v>
      </c>
      <c r="K677" s="5">
        <f t="shared" si="48"/>
        <v>0.2423221262081553</v>
      </c>
      <c r="L677" s="7"/>
    </row>
    <row r="678" spans="1:12" x14ac:dyDescent="0.25">
      <c r="A678" t="s">
        <v>19</v>
      </c>
      <c r="B678">
        <v>1997</v>
      </c>
      <c r="C678">
        <v>486583035615.46375</v>
      </c>
      <c r="D678">
        <v>120116166675.54158</v>
      </c>
      <c r="E678">
        <v>7088906</v>
      </c>
      <c r="F678" s="4">
        <v>1687.5</v>
      </c>
      <c r="G678">
        <f t="shared" si="46"/>
        <v>11962528875</v>
      </c>
      <c r="H678">
        <f t="shared" si="47"/>
        <v>40.675599674610083</v>
      </c>
      <c r="I678">
        <f t="shared" si="49"/>
        <v>566888162774.38708</v>
      </c>
      <c r="J678" s="6">
        <v>0.12</v>
      </c>
      <c r="K678" s="5">
        <f t="shared" si="48"/>
        <v>0.24685646207046733</v>
      </c>
      <c r="L678" s="7"/>
    </row>
    <row r="679" spans="1:12" x14ac:dyDescent="0.25">
      <c r="A679" t="s">
        <v>19</v>
      </c>
      <c r="B679">
        <v>1998</v>
      </c>
      <c r="C679">
        <v>501326351582.97369</v>
      </c>
      <c r="D679">
        <v>129915711539.48488</v>
      </c>
      <c r="E679">
        <v>7110001</v>
      </c>
      <c r="F679" s="4">
        <v>1695.5</v>
      </c>
      <c r="G679">
        <f t="shared" si="46"/>
        <v>12055006695.5</v>
      </c>
      <c r="H679">
        <f t="shared" si="47"/>
        <v>41.586567659901277</v>
      </c>
      <c r="I679">
        <f t="shared" si="49"/>
        <v>628777294780.94556</v>
      </c>
      <c r="J679" s="6">
        <v>0.12</v>
      </c>
      <c r="K679" s="5">
        <f t="shared" si="48"/>
        <v>0.25914399099362473</v>
      </c>
      <c r="L679" s="7"/>
    </row>
    <row r="680" spans="1:12" x14ac:dyDescent="0.25">
      <c r="A680" t="s">
        <v>19</v>
      </c>
      <c r="B680">
        <v>1999</v>
      </c>
      <c r="C680">
        <v>509661911268.6908</v>
      </c>
      <c r="D680">
        <v>133693762811.05272</v>
      </c>
      <c r="E680">
        <v>7143991</v>
      </c>
      <c r="F680" s="4">
        <v>1717.4</v>
      </c>
      <c r="G680">
        <f t="shared" si="46"/>
        <v>12269090143.400002</v>
      </c>
      <c r="H680">
        <f t="shared" si="47"/>
        <v>41.540318419035891</v>
      </c>
      <c r="I680">
        <f t="shared" si="49"/>
        <v>687017782218.28479</v>
      </c>
      <c r="J680" s="6">
        <v>0.12</v>
      </c>
      <c r="K680" s="5">
        <f t="shared" si="48"/>
        <v>0.26231852892096963</v>
      </c>
      <c r="L680" s="7"/>
    </row>
    <row r="681" spans="1:12" x14ac:dyDescent="0.25">
      <c r="A681" t="s">
        <v>19</v>
      </c>
      <c r="B681">
        <v>2000</v>
      </c>
      <c r="C681">
        <v>529837997852.02496</v>
      </c>
      <c r="D681">
        <v>140080862000.4628</v>
      </c>
      <c r="E681">
        <v>7184250</v>
      </c>
      <c r="F681" s="4">
        <v>1712.7</v>
      </c>
      <c r="G681">
        <f t="shared" si="46"/>
        <v>12304464975</v>
      </c>
      <c r="H681">
        <f t="shared" si="47"/>
        <v>43.060628717180364</v>
      </c>
      <c r="I681">
        <f t="shared" si="49"/>
        <v>744656510352.55334</v>
      </c>
      <c r="J681" s="6">
        <v>0.12</v>
      </c>
      <c r="K681" s="5">
        <f t="shared" si="48"/>
        <v>0.26438432609279389</v>
      </c>
      <c r="L681" s="7"/>
    </row>
    <row r="682" spans="1:12" x14ac:dyDescent="0.25">
      <c r="A682" t="s">
        <v>19</v>
      </c>
      <c r="B682">
        <v>2001</v>
      </c>
      <c r="C682">
        <v>538186453673.23315</v>
      </c>
      <c r="D682">
        <v>138089586874.65182</v>
      </c>
      <c r="E682">
        <v>7229854</v>
      </c>
      <c r="F682" s="4">
        <v>1672.8</v>
      </c>
      <c r="G682">
        <f t="shared" si="46"/>
        <v>12094099771.199999</v>
      </c>
      <c r="H682">
        <f t="shared" si="47"/>
        <v>44.499918460639037</v>
      </c>
      <c r="I682">
        <f t="shared" si="49"/>
        <v>793387315984.8988</v>
      </c>
      <c r="J682" s="6">
        <v>0.12</v>
      </c>
      <c r="K682" s="5">
        <f t="shared" si="48"/>
        <v>0.25658317100358435</v>
      </c>
      <c r="L682" s="7"/>
    </row>
    <row r="683" spans="1:12" x14ac:dyDescent="0.25">
      <c r="A683" t="s">
        <v>19</v>
      </c>
      <c r="B683">
        <v>2002</v>
      </c>
      <c r="C683">
        <v>537792409245.14105</v>
      </c>
      <c r="D683">
        <v>139541642270.30023</v>
      </c>
      <c r="E683">
        <v>7284753</v>
      </c>
      <c r="F683" s="4">
        <v>1651.3</v>
      </c>
      <c r="G683">
        <f t="shared" si="46"/>
        <v>12029312628.9</v>
      </c>
      <c r="H683">
        <f t="shared" si="47"/>
        <v>44.706827882510403</v>
      </c>
      <c r="I683">
        <f t="shared" si="49"/>
        <v>837722480337.01123</v>
      </c>
      <c r="J683" s="6">
        <v>0.12</v>
      </c>
      <c r="K683" s="5">
        <f t="shared" si="48"/>
        <v>0.25947120091591547</v>
      </c>
      <c r="L683" s="7"/>
    </row>
    <row r="684" spans="1:12" x14ac:dyDescent="0.25">
      <c r="A684" t="s">
        <v>19</v>
      </c>
      <c r="B684">
        <v>2003</v>
      </c>
      <c r="C684">
        <v>537618172697.6098</v>
      </c>
      <c r="D684">
        <v>138870939315.85025</v>
      </c>
      <c r="E684">
        <v>7339001</v>
      </c>
      <c r="F684" s="4">
        <v>1664.5</v>
      </c>
      <c r="G684">
        <f t="shared" si="46"/>
        <v>12215767164.5</v>
      </c>
      <c r="H684">
        <f t="shared" si="47"/>
        <v>44.010184989443097</v>
      </c>
      <c r="I684">
        <f t="shared" si="49"/>
        <v>876066722012.42004</v>
      </c>
      <c r="J684" s="6">
        <v>0.12</v>
      </c>
      <c r="K684" s="5">
        <f t="shared" si="48"/>
        <v>0.25830774770695852</v>
      </c>
      <c r="L684" s="7"/>
    </row>
    <row r="685" spans="1:12" x14ac:dyDescent="0.25">
      <c r="A685" t="s">
        <v>19</v>
      </c>
      <c r="B685">
        <v>2004</v>
      </c>
      <c r="C685">
        <v>552143052382.24219</v>
      </c>
      <c r="D685">
        <v>146540047999.93582</v>
      </c>
      <c r="E685">
        <v>7389625</v>
      </c>
      <c r="F685" s="4">
        <v>1695</v>
      </c>
      <c r="G685">
        <f t="shared" si="46"/>
        <v>12525414375</v>
      </c>
      <c r="H685">
        <f t="shared" si="47"/>
        <v>44.08181923979199</v>
      </c>
      <c r="I685">
        <f t="shared" si="49"/>
        <v>917478763370.86548</v>
      </c>
      <c r="J685" s="6">
        <v>0.12</v>
      </c>
      <c r="K685" s="5">
        <f t="shared" si="48"/>
        <v>0.26540232167675243</v>
      </c>
      <c r="L685" s="7"/>
    </row>
    <row r="686" spans="1:12" x14ac:dyDescent="0.25">
      <c r="A686" t="s">
        <v>19</v>
      </c>
      <c r="B686">
        <v>2005</v>
      </c>
      <c r="C686">
        <v>567325324289.26111</v>
      </c>
      <c r="D686">
        <v>151373612268.73361</v>
      </c>
      <c r="E686">
        <v>7437115</v>
      </c>
      <c r="F686" s="4">
        <v>1690</v>
      </c>
      <c r="G686">
        <f t="shared" si="46"/>
        <v>12568724350</v>
      </c>
      <c r="H686">
        <f t="shared" si="47"/>
        <v>45.13786033419224</v>
      </c>
      <c r="I686">
        <f t="shared" si="49"/>
        <v>958754924035.09521</v>
      </c>
      <c r="J686" s="6">
        <v>0.12</v>
      </c>
      <c r="K686" s="5">
        <f t="shared" si="48"/>
        <v>0.26681976951826147</v>
      </c>
      <c r="L686" s="7"/>
    </row>
    <row r="687" spans="1:12" x14ac:dyDescent="0.25">
      <c r="A687" t="s">
        <v>19</v>
      </c>
      <c r="B687">
        <v>2006</v>
      </c>
      <c r="C687">
        <v>590436050103.2384</v>
      </c>
      <c r="D687">
        <v>158345087924.76343</v>
      </c>
      <c r="E687">
        <v>7483934</v>
      </c>
      <c r="F687" s="4">
        <v>1679.2</v>
      </c>
      <c r="G687">
        <f t="shared" si="46"/>
        <v>12567021972.800001</v>
      </c>
      <c r="H687">
        <f t="shared" si="47"/>
        <v>46.982972686860514</v>
      </c>
      <c r="I687">
        <f t="shared" si="49"/>
        <v>1002049421075.6472</v>
      </c>
      <c r="J687" s="6">
        <v>0.12</v>
      </c>
      <c r="K687" s="5">
        <f t="shared" si="48"/>
        <v>0.26818329927022005</v>
      </c>
      <c r="L687" s="7"/>
    </row>
    <row r="688" spans="1:12" x14ac:dyDescent="0.25">
      <c r="A688" t="s">
        <v>19</v>
      </c>
      <c r="B688">
        <v>2007</v>
      </c>
      <c r="C688">
        <v>613559744788.94751</v>
      </c>
      <c r="D688">
        <v>166289968792.15845</v>
      </c>
      <c r="E688">
        <v>7551117</v>
      </c>
      <c r="F688" s="4">
        <v>1668.9</v>
      </c>
      <c r="G688">
        <f t="shared" si="46"/>
        <v>12602059161.300001</v>
      </c>
      <c r="H688">
        <f t="shared" si="47"/>
        <v>48.687261100403688</v>
      </c>
      <c r="I688">
        <f t="shared" si="49"/>
        <v>1048093459338.728</v>
      </c>
      <c r="J688" s="6">
        <v>0.12</v>
      </c>
      <c r="K688" s="5">
        <f t="shared" si="48"/>
        <v>0.27102490051618189</v>
      </c>
      <c r="L688" s="7"/>
    </row>
    <row r="689" spans="1:12" x14ac:dyDescent="0.25">
      <c r="A689" t="s">
        <v>19</v>
      </c>
      <c r="B689">
        <v>2008</v>
      </c>
      <c r="C689">
        <v>630788401993.24121</v>
      </c>
      <c r="D689">
        <v>167015886866.0769</v>
      </c>
      <c r="E689">
        <v>7647675</v>
      </c>
      <c r="F689" s="4">
        <v>1659.5</v>
      </c>
      <c r="G689">
        <f t="shared" si="46"/>
        <v>12691316662.5</v>
      </c>
      <c r="H689">
        <f t="shared" si="47"/>
        <v>49.702360973868039</v>
      </c>
      <c r="I689">
        <f t="shared" si="49"/>
        <v>1089338131084.1576</v>
      </c>
      <c r="J689" s="6">
        <v>0.12</v>
      </c>
      <c r="K689" s="5">
        <f t="shared" si="48"/>
        <v>0.26477323669604574</v>
      </c>
      <c r="L689" s="7"/>
    </row>
    <row r="690" spans="1:12" x14ac:dyDescent="0.25">
      <c r="A690" t="s">
        <v>19</v>
      </c>
      <c r="B690">
        <v>2009</v>
      </c>
      <c r="C690">
        <v>616296829272.35303</v>
      </c>
      <c r="D690">
        <v>155261162755.35638</v>
      </c>
      <c r="E690">
        <v>7743831</v>
      </c>
      <c r="F690" s="4">
        <v>1650.8</v>
      </c>
      <c r="G690">
        <f t="shared" si="46"/>
        <v>12783516214.799999</v>
      </c>
      <c r="H690">
        <f t="shared" si="47"/>
        <v>48.210274772354182</v>
      </c>
      <c r="I690">
        <f t="shared" si="49"/>
        <v>1113878718109.415</v>
      </c>
      <c r="J690" s="6">
        <v>0.12</v>
      </c>
      <c r="K690" s="5">
        <f t="shared" si="48"/>
        <v>0.25192594766172904</v>
      </c>
      <c r="L690" s="7"/>
    </row>
    <row r="691" spans="1:12" x14ac:dyDescent="0.25">
      <c r="A691" t="s">
        <v>19</v>
      </c>
      <c r="B691">
        <v>2010</v>
      </c>
      <c r="C691">
        <v>636285784211.75415</v>
      </c>
      <c r="D691">
        <v>160858161411.97998</v>
      </c>
      <c r="E691">
        <v>7824909</v>
      </c>
      <c r="F691" s="4">
        <v>1611</v>
      </c>
      <c r="G691">
        <f t="shared" si="46"/>
        <v>12605928399</v>
      </c>
      <c r="H691">
        <f t="shared" si="47"/>
        <v>50.475122820960117</v>
      </c>
      <c r="I691">
        <f t="shared" si="49"/>
        <v>1141071433348.2651</v>
      </c>
      <c r="J691" s="6">
        <v>0.12</v>
      </c>
      <c r="K691" s="5">
        <f t="shared" si="48"/>
        <v>0.25280803909717214</v>
      </c>
      <c r="L691" s="7"/>
    </row>
    <row r="692" spans="1:12" x14ac:dyDescent="0.25">
      <c r="A692" t="s">
        <v>19</v>
      </c>
      <c r="B692">
        <v>2011</v>
      </c>
      <c r="C692">
        <v>647822333890.06396</v>
      </c>
      <c r="D692">
        <v>165409939249.44461</v>
      </c>
      <c r="E692">
        <v>7912398</v>
      </c>
      <c r="F692" s="4">
        <v>1608</v>
      </c>
      <c r="G692">
        <f t="shared" si="46"/>
        <v>12723135984</v>
      </c>
      <c r="H692">
        <f t="shared" si="47"/>
        <v>50.916875737611697</v>
      </c>
      <c r="I692">
        <f t="shared" si="49"/>
        <v>1169552800595.918</v>
      </c>
      <c r="J692" s="6">
        <v>0.12</v>
      </c>
      <c r="K692" s="5">
        <f t="shared" si="48"/>
        <v>0.25533225792971015</v>
      </c>
      <c r="L692" s="7"/>
    </row>
    <row r="693" spans="1:12" x14ac:dyDescent="0.25">
      <c r="A693" t="s">
        <v>19</v>
      </c>
      <c r="B693">
        <v>2012</v>
      </c>
      <c r="C693">
        <v>655461803595.11914</v>
      </c>
      <c r="D693">
        <v>173285833948.81238</v>
      </c>
      <c r="E693">
        <v>7996861</v>
      </c>
      <c r="F693" s="4">
        <v>1593</v>
      </c>
      <c r="G693">
        <f t="shared" si="46"/>
        <v>12738999573</v>
      </c>
      <c r="H693">
        <f t="shared" si="47"/>
        <v>51.453161595542753</v>
      </c>
      <c r="I693">
        <f t="shared" si="49"/>
        <v>1202492298473.2202</v>
      </c>
      <c r="J693" s="6">
        <v>0.12</v>
      </c>
      <c r="K693" s="5">
        <f t="shared" si="48"/>
        <v>0.26437213121857456</v>
      </c>
      <c r="L693" s="7"/>
    </row>
    <row r="694" spans="1:12" x14ac:dyDescent="0.25">
      <c r="A694" t="s">
        <v>19</v>
      </c>
      <c r="B694">
        <v>2013</v>
      </c>
      <c r="C694">
        <v>667208623354.64478</v>
      </c>
      <c r="D694">
        <v>175223584553.20853</v>
      </c>
      <c r="E694">
        <v>8089346</v>
      </c>
      <c r="F694" s="4">
        <v>1573</v>
      </c>
      <c r="G694">
        <f t="shared" si="46"/>
        <v>12724541258</v>
      </c>
      <c r="H694">
        <f t="shared" si="47"/>
        <v>52.434788007399987</v>
      </c>
      <c r="I694">
        <f t="shared" si="49"/>
        <v>1233416807209.6423</v>
      </c>
      <c r="J694" s="6">
        <v>0.12</v>
      </c>
      <c r="K694" s="5">
        <f t="shared" si="48"/>
        <v>0.26262188230152872</v>
      </c>
      <c r="L694" s="7"/>
    </row>
    <row r="695" spans="1:12" x14ac:dyDescent="0.25">
      <c r="A695" t="s">
        <v>19</v>
      </c>
      <c r="B695">
        <v>2014</v>
      </c>
      <c r="C695">
        <v>682887233860.61646</v>
      </c>
      <c r="D695">
        <v>179528624436.50647</v>
      </c>
      <c r="E695">
        <v>8188649</v>
      </c>
      <c r="F695" s="4">
        <v>1564</v>
      </c>
      <c r="G695">
        <f t="shared" si="46"/>
        <v>12807047036</v>
      </c>
      <c r="H695">
        <f t="shared" si="47"/>
        <v>53.321209170314823</v>
      </c>
      <c r="I695">
        <f t="shared" si="49"/>
        <v>1264935414780.9917</v>
      </c>
      <c r="J695" s="6">
        <v>0.12</v>
      </c>
      <c r="K695" s="5">
        <f t="shared" si="48"/>
        <v>0.26289644253790501</v>
      </c>
      <c r="L695" s="7"/>
    </row>
    <row r="696" spans="1:12" x14ac:dyDescent="0.25">
      <c r="A696" t="s">
        <v>19</v>
      </c>
      <c r="B696">
        <v>2015</v>
      </c>
      <c r="C696">
        <v>694118186379.62781</v>
      </c>
      <c r="D696">
        <v>183324970950.80984</v>
      </c>
      <c r="E696">
        <v>8282396</v>
      </c>
      <c r="F696" s="4">
        <v>1577</v>
      </c>
      <c r="G696">
        <f t="shared" si="46"/>
        <v>13061338492</v>
      </c>
      <c r="H696">
        <f t="shared" si="47"/>
        <v>53.142959797326398</v>
      </c>
      <c r="I696">
        <f t="shared" si="49"/>
        <v>1296468135958.0825</v>
      </c>
      <c r="J696" s="6">
        <v>0.12</v>
      </c>
      <c r="K696" s="5">
        <f t="shared" si="48"/>
        <v>0.26411204107328429</v>
      </c>
      <c r="L696" s="7"/>
    </row>
    <row r="697" spans="1:12" x14ac:dyDescent="0.25">
      <c r="A697" t="s">
        <v>19</v>
      </c>
      <c r="B697">
        <v>2016</v>
      </c>
      <c r="C697">
        <v>708477337578.72241</v>
      </c>
      <c r="D697">
        <v>188162178266.18176</v>
      </c>
      <c r="E697">
        <v>8373338</v>
      </c>
      <c r="F697" s="4">
        <v>1577</v>
      </c>
      <c r="G697">
        <f t="shared" si="46"/>
        <v>13204754026</v>
      </c>
      <c r="H697">
        <f t="shared" si="47"/>
        <v>53.653202186404926</v>
      </c>
      <c r="I697">
        <f t="shared" si="49"/>
        <v>1329054137909.2944</v>
      </c>
      <c r="J697" s="6">
        <v>0.12</v>
      </c>
      <c r="K697" s="5">
        <f t="shared" si="48"/>
        <v>0.26558672844672909</v>
      </c>
      <c r="L697" s="7"/>
    </row>
    <row r="698" spans="1:12" x14ac:dyDescent="0.25">
      <c r="A698" t="s">
        <v>19</v>
      </c>
      <c r="B698">
        <v>2017</v>
      </c>
      <c r="C698">
        <v>718132463597.49939</v>
      </c>
      <c r="D698">
        <v>194818930442.87305</v>
      </c>
      <c r="E698">
        <v>8451840</v>
      </c>
      <c r="F698" s="4">
        <v>1559</v>
      </c>
      <c r="G698">
        <f t="shared" si="46"/>
        <v>13176418560</v>
      </c>
      <c r="H698">
        <f t="shared" si="47"/>
        <v>54.501339671885724</v>
      </c>
      <c r="I698">
        <f t="shared" si="49"/>
        <v>1364386571803.0522</v>
      </c>
      <c r="J698" s="6">
        <v>0.12</v>
      </c>
      <c r="K698" s="5">
        <f t="shared" si="48"/>
        <v>0.27128550834051368</v>
      </c>
      <c r="L698" s="7"/>
    </row>
    <row r="699" spans="1:12" x14ac:dyDescent="0.25">
      <c r="A699" t="s">
        <v>19</v>
      </c>
      <c r="B699">
        <v>2018</v>
      </c>
      <c r="C699">
        <v>738674253452.24866</v>
      </c>
      <c r="D699">
        <v>196354447557.55389</v>
      </c>
      <c r="E699">
        <v>8514329</v>
      </c>
      <c r="F699" s="4">
        <v>1551</v>
      </c>
      <c r="G699">
        <f t="shared" si="46"/>
        <v>13205724279</v>
      </c>
      <c r="H699">
        <f t="shared" si="47"/>
        <v>55.935913687589469</v>
      </c>
      <c r="I699">
        <f t="shared" si="49"/>
        <v>1397014630744.24</v>
      </c>
      <c r="J699" s="6">
        <v>0.12</v>
      </c>
      <c r="K699" s="5">
        <f t="shared" si="48"/>
        <v>0.26582007784876338</v>
      </c>
      <c r="L699" s="7"/>
    </row>
    <row r="700" spans="1:12" x14ac:dyDescent="0.25">
      <c r="A700" t="s">
        <v>19</v>
      </c>
      <c r="B700">
        <v>2019</v>
      </c>
      <c r="C700">
        <v>747109782866.38879</v>
      </c>
      <c r="D700">
        <v>198118193331.30014</v>
      </c>
      <c r="E700">
        <v>8575280</v>
      </c>
      <c r="F700" s="4">
        <v>1549</v>
      </c>
      <c r="G700">
        <f t="shared" si="46"/>
        <v>13283108720</v>
      </c>
      <c r="H700">
        <f t="shared" si="47"/>
        <v>56.245100346237983</v>
      </c>
      <c r="I700">
        <f t="shared" si="49"/>
        <v>1427491068386.2312</v>
      </c>
      <c r="J700" s="6">
        <v>0.12</v>
      </c>
      <c r="K700" s="5">
        <f t="shared" si="48"/>
        <v>0.26517949286006215</v>
      </c>
      <c r="L700" s="7"/>
    </row>
    <row r="701" spans="1:12" x14ac:dyDescent="0.25">
      <c r="A701" t="s">
        <v>19</v>
      </c>
      <c r="B701">
        <v>2020</v>
      </c>
      <c r="C701">
        <v>731108654673.33398</v>
      </c>
      <c r="D701">
        <v>195459606838.03806</v>
      </c>
      <c r="E701">
        <v>8638167</v>
      </c>
      <c r="F701" s="4">
        <v>1498.8</v>
      </c>
      <c r="G701">
        <f t="shared" si="46"/>
        <v>12946884699.6</v>
      </c>
      <c r="H701">
        <f t="shared" si="47"/>
        <v>56.469851368640199</v>
      </c>
      <c r="I701">
        <f t="shared" si="49"/>
        <v>1451651747017.9216</v>
      </c>
      <c r="J701" s="6">
        <v>0.12</v>
      </c>
      <c r="K701" s="5">
        <f t="shared" si="48"/>
        <v>0.26734686505027244</v>
      </c>
      <c r="L701" s="7"/>
    </row>
    <row r="702" spans="1:12" x14ac:dyDescent="0.25">
      <c r="A702" t="s">
        <v>19</v>
      </c>
      <c r="B702">
        <v>2021</v>
      </c>
      <c r="C702">
        <v>770529214794.41357</v>
      </c>
      <c r="D702">
        <v>200917155573.83005</v>
      </c>
      <c r="E702">
        <v>8704546</v>
      </c>
      <c r="F702" s="4">
        <v>1531.2</v>
      </c>
      <c r="G702">
        <f t="shared" si="46"/>
        <v>13328400835.200001</v>
      </c>
      <c r="H702">
        <f t="shared" si="47"/>
        <v>57.811077587002309</v>
      </c>
      <c r="I702">
        <f t="shared" si="49"/>
        <v>1478370692949.6011</v>
      </c>
      <c r="J702" s="6">
        <v>0.12</v>
      </c>
      <c r="K702" s="5">
        <f t="shared" si="48"/>
        <v>0.26075215801835255</v>
      </c>
      <c r="L702" s="7"/>
    </row>
    <row r="703" spans="1:12" x14ac:dyDescent="0.25">
      <c r="A703" t="s">
        <v>19</v>
      </c>
      <c r="B703">
        <v>2022</v>
      </c>
      <c r="C703">
        <v>790318933740.32581</v>
      </c>
      <c r="D703">
        <v>203178311247.44693</v>
      </c>
      <c r="E703">
        <v>8777088</v>
      </c>
      <c r="F703" s="4">
        <v>1528.7</v>
      </c>
      <c r="G703">
        <f t="shared" si="46"/>
        <v>13417534425.6</v>
      </c>
      <c r="H703">
        <f t="shared" si="47"/>
        <v>58.901949394848273</v>
      </c>
      <c r="I703">
        <f t="shared" si="49"/>
        <v>1504144521043.0959</v>
      </c>
      <c r="J703" s="6">
        <v>0.12</v>
      </c>
      <c r="K703" s="5">
        <f t="shared" si="48"/>
        <v>0.25708394747152169</v>
      </c>
      <c r="L703" s="7"/>
    </row>
    <row r="704" spans="1:12" x14ac:dyDescent="0.25">
      <c r="A704" t="s">
        <v>20</v>
      </c>
      <c r="B704">
        <v>1980</v>
      </c>
      <c r="C704">
        <v>1324862633557.1267</v>
      </c>
      <c r="D704">
        <v>200939918208.1575</v>
      </c>
      <c r="E704">
        <v>56314216</v>
      </c>
      <c r="F704" s="4">
        <v>1619</v>
      </c>
      <c r="G704">
        <f t="shared" si="46"/>
        <v>91172715704</v>
      </c>
      <c r="H704">
        <f t="shared" si="47"/>
        <v>14.53134990360939</v>
      </c>
      <c r="I704">
        <f>D704</f>
        <v>200939918208.1575</v>
      </c>
      <c r="J704" s="6">
        <v>0.12</v>
      </c>
      <c r="K704" s="5">
        <f t="shared" si="48"/>
        <v>0.15166849235430049</v>
      </c>
      <c r="L704" s="7"/>
    </row>
    <row r="705" spans="1:12" x14ac:dyDescent="0.25">
      <c r="A705" t="s">
        <v>20</v>
      </c>
      <c r="B705">
        <v>1981</v>
      </c>
      <c r="C705">
        <v>1314426110473.7312</v>
      </c>
      <c r="D705">
        <v>183394698861.82825</v>
      </c>
      <c r="E705">
        <v>56333829</v>
      </c>
      <c r="F705" s="4">
        <v>1567</v>
      </c>
      <c r="G705">
        <f t="shared" si="46"/>
        <v>88275110043</v>
      </c>
      <c r="H705">
        <f t="shared" si="47"/>
        <v>14.890110132215712</v>
      </c>
      <c r="I705">
        <f>I704-(I704*J704)+D705</f>
        <v>360221826885.00684</v>
      </c>
      <c r="J705" s="6">
        <v>0.12</v>
      </c>
      <c r="K705" s="5">
        <f t="shared" si="48"/>
        <v>0.13952454033017583</v>
      </c>
      <c r="L705" s="7"/>
    </row>
    <row r="706" spans="1:12" x14ac:dyDescent="0.25">
      <c r="A706" t="s">
        <v>20</v>
      </c>
      <c r="B706">
        <v>1982</v>
      </c>
      <c r="C706">
        <v>1340647481719.041</v>
      </c>
      <c r="D706">
        <v>194419416367.75424</v>
      </c>
      <c r="E706">
        <v>56313641</v>
      </c>
      <c r="F706" s="4">
        <v>1581</v>
      </c>
      <c r="G706">
        <f t="shared" si="46"/>
        <v>89031866421</v>
      </c>
      <c r="H706">
        <f t="shared" si="47"/>
        <v>15.058063316111967</v>
      </c>
      <c r="I706">
        <f t="shared" ref="I706:I746" si="50">I705-(I705*J705)+D706</f>
        <v>511414624026.5603</v>
      </c>
      <c r="J706" s="6">
        <v>0.12</v>
      </c>
      <c r="K706" s="5">
        <f t="shared" si="48"/>
        <v>0.14501904416995626</v>
      </c>
      <c r="L706" s="7"/>
    </row>
    <row r="707" spans="1:12" x14ac:dyDescent="0.25">
      <c r="A707" t="s">
        <v>20</v>
      </c>
      <c r="B707">
        <v>1983</v>
      </c>
      <c r="C707">
        <v>1397247692388.1018</v>
      </c>
      <c r="D707">
        <v>204229646835.59424</v>
      </c>
      <c r="E707">
        <v>56332848</v>
      </c>
      <c r="F707" s="4">
        <v>1568</v>
      </c>
      <c r="G707">
        <f t="shared" ref="G707:G770" si="51">E707*F707</f>
        <v>88329905664</v>
      </c>
      <c r="H707">
        <f t="shared" ref="H707:H770" si="52">C707/G707</f>
        <v>15.81851222283789</v>
      </c>
      <c r="I707">
        <f t="shared" si="50"/>
        <v>654274515978.96729</v>
      </c>
      <c r="J707" s="6">
        <v>0.12</v>
      </c>
      <c r="K707" s="5">
        <f t="shared" ref="K707:K770" si="53">D707/C707</f>
        <v>0.14616567123223209</v>
      </c>
      <c r="L707" s="7"/>
    </row>
    <row r="708" spans="1:12" x14ac:dyDescent="0.25">
      <c r="A708" t="s">
        <v>20</v>
      </c>
      <c r="B708">
        <v>1984</v>
      </c>
      <c r="C708">
        <v>1428952711623.5554</v>
      </c>
      <c r="D708">
        <v>222803052949.17258</v>
      </c>
      <c r="E708">
        <v>56422072</v>
      </c>
      <c r="F708" s="4">
        <v>1583</v>
      </c>
      <c r="G708">
        <f t="shared" si="51"/>
        <v>89316139976</v>
      </c>
      <c r="H708">
        <f t="shared" si="52"/>
        <v>15.998818489105407</v>
      </c>
      <c r="I708">
        <f t="shared" si="50"/>
        <v>798564627010.66382</v>
      </c>
      <c r="J708" s="6">
        <v>0.12</v>
      </c>
      <c r="K708" s="5">
        <f t="shared" si="53"/>
        <v>0.1559205221676139</v>
      </c>
      <c r="L708" s="7"/>
    </row>
    <row r="709" spans="1:12" x14ac:dyDescent="0.25">
      <c r="A709" t="s">
        <v>20</v>
      </c>
      <c r="B709">
        <v>1985</v>
      </c>
      <c r="C709">
        <v>1488217310110.0173</v>
      </c>
      <c r="D709">
        <v>232092114130.87387</v>
      </c>
      <c r="E709">
        <v>56550268</v>
      </c>
      <c r="F709" s="4">
        <v>1613</v>
      </c>
      <c r="G709">
        <f t="shared" si="51"/>
        <v>91215582284</v>
      </c>
      <c r="H709">
        <f t="shared" si="52"/>
        <v>16.315384639835418</v>
      </c>
      <c r="I709">
        <f t="shared" si="50"/>
        <v>934828985900.25806</v>
      </c>
      <c r="J709" s="6">
        <v>0.12</v>
      </c>
      <c r="K709" s="5">
        <f t="shared" si="53"/>
        <v>0.15595310748919883</v>
      </c>
      <c r="L709" s="7"/>
    </row>
    <row r="710" spans="1:12" x14ac:dyDescent="0.25">
      <c r="A710" t="s">
        <v>20</v>
      </c>
      <c r="B710">
        <v>1986</v>
      </c>
      <c r="C710">
        <v>1535101224196.6272</v>
      </c>
      <c r="D710">
        <v>237185886996.65405</v>
      </c>
      <c r="E710">
        <v>56681396</v>
      </c>
      <c r="F710" s="4">
        <v>1615</v>
      </c>
      <c r="G710">
        <f t="shared" si="51"/>
        <v>91540454540</v>
      </c>
      <c r="H710">
        <f t="shared" si="52"/>
        <v>16.769648260003354</v>
      </c>
      <c r="I710">
        <f t="shared" si="50"/>
        <v>1059835394588.8811</v>
      </c>
      <c r="J710" s="6">
        <v>0.12</v>
      </c>
      <c r="K710" s="5">
        <f t="shared" si="53"/>
        <v>0.15450830424604856</v>
      </c>
      <c r="L710" s="7"/>
    </row>
    <row r="711" spans="1:12" x14ac:dyDescent="0.25">
      <c r="A711" t="s">
        <v>20</v>
      </c>
      <c r="B711">
        <v>1987</v>
      </c>
      <c r="C711">
        <v>1617885216667.9534</v>
      </c>
      <c r="D711">
        <v>259666877964.65005</v>
      </c>
      <c r="E711">
        <v>56802050</v>
      </c>
      <c r="F711" s="4">
        <v>1605</v>
      </c>
      <c r="G711">
        <f t="shared" si="51"/>
        <v>91167290250</v>
      </c>
      <c r="H711">
        <f t="shared" si="52"/>
        <v>17.746334373121872</v>
      </c>
      <c r="I711">
        <f t="shared" si="50"/>
        <v>1192322025202.8655</v>
      </c>
      <c r="J711" s="6">
        <v>0.12</v>
      </c>
      <c r="K711" s="5">
        <f t="shared" si="53"/>
        <v>0.16049771349010528</v>
      </c>
      <c r="L711" s="7"/>
    </row>
    <row r="712" spans="1:12" x14ac:dyDescent="0.25">
      <c r="A712" t="s">
        <v>20</v>
      </c>
      <c r="B712">
        <v>1988</v>
      </c>
      <c r="C712">
        <v>1710629088490.4336</v>
      </c>
      <c r="D712">
        <v>298214477500.72961</v>
      </c>
      <c r="E712">
        <v>56928327</v>
      </c>
      <c r="F712" s="4">
        <v>1642</v>
      </c>
      <c r="G712">
        <f t="shared" si="51"/>
        <v>93476312934</v>
      </c>
      <c r="H712">
        <f t="shared" si="52"/>
        <v>18.300134384827977</v>
      </c>
      <c r="I712">
        <f t="shared" si="50"/>
        <v>1347457859679.2512</v>
      </c>
      <c r="J712" s="6">
        <v>0.12</v>
      </c>
      <c r="K712" s="5">
        <f t="shared" si="53"/>
        <v>0.17433029726151375</v>
      </c>
      <c r="L712" s="7"/>
    </row>
    <row r="713" spans="1:12" x14ac:dyDescent="0.25">
      <c r="A713" t="s">
        <v>20</v>
      </c>
      <c r="B713">
        <v>1989</v>
      </c>
      <c r="C713">
        <v>1754722311847.6812</v>
      </c>
      <c r="D713">
        <v>316398776962.138</v>
      </c>
      <c r="E713">
        <v>57076711</v>
      </c>
      <c r="F713" s="4">
        <v>1631</v>
      </c>
      <c r="G713">
        <f t="shared" si="51"/>
        <v>93092115641</v>
      </c>
      <c r="H713">
        <f t="shared" si="52"/>
        <v>18.849311778610598</v>
      </c>
      <c r="I713">
        <f t="shared" si="50"/>
        <v>1502161693479.8792</v>
      </c>
      <c r="J713" s="6">
        <v>0.12</v>
      </c>
      <c r="K713" s="5">
        <f t="shared" si="53"/>
        <v>0.18031273371624115</v>
      </c>
      <c r="L713" s="7"/>
    </row>
    <row r="714" spans="1:12" x14ac:dyDescent="0.25">
      <c r="A714" t="s">
        <v>20</v>
      </c>
      <c r="B714">
        <v>1990</v>
      </c>
      <c r="C714">
        <v>1767597683034.6587</v>
      </c>
      <c r="D714">
        <v>309404271389.39435</v>
      </c>
      <c r="E714">
        <v>57247586</v>
      </c>
      <c r="F714" s="4">
        <v>1617</v>
      </c>
      <c r="G714">
        <f t="shared" si="51"/>
        <v>92569346562</v>
      </c>
      <c r="H714">
        <f t="shared" si="52"/>
        <v>19.094848874738226</v>
      </c>
      <c r="I714">
        <f t="shared" si="50"/>
        <v>1631306561651.688</v>
      </c>
      <c r="J714" s="6">
        <v>0.12</v>
      </c>
      <c r="K714" s="5">
        <f t="shared" si="53"/>
        <v>0.17504224765570006</v>
      </c>
      <c r="L714" s="7"/>
    </row>
    <row r="715" spans="1:12" x14ac:dyDescent="0.25">
      <c r="A715" t="s">
        <v>20</v>
      </c>
      <c r="B715">
        <v>1991</v>
      </c>
      <c r="C715">
        <v>1748098930983.3333</v>
      </c>
      <c r="D715">
        <v>289823057535.58551</v>
      </c>
      <c r="E715">
        <v>57424897</v>
      </c>
      <c r="F715" s="4">
        <v>1615</v>
      </c>
      <c r="G715">
        <f t="shared" si="51"/>
        <v>92741208655</v>
      </c>
      <c r="H715">
        <f t="shared" si="52"/>
        <v>18.849214457472861</v>
      </c>
      <c r="I715">
        <f t="shared" si="50"/>
        <v>1725372831789.0708</v>
      </c>
      <c r="J715" s="6">
        <v>0.12</v>
      </c>
      <c r="K715" s="5">
        <f t="shared" si="53"/>
        <v>0.16579328114602498</v>
      </c>
      <c r="L715" s="7"/>
    </row>
    <row r="716" spans="1:12" x14ac:dyDescent="0.25">
      <c r="A716" t="s">
        <v>20</v>
      </c>
      <c r="B716">
        <v>1992</v>
      </c>
      <c r="C716">
        <v>1755110242111.0061</v>
      </c>
      <c r="D716">
        <v>292428963549.61011</v>
      </c>
      <c r="E716">
        <v>57580402</v>
      </c>
      <c r="F716" s="4">
        <v>1583</v>
      </c>
      <c r="G716">
        <f t="shared" si="51"/>
        <v>91149776366</v>
      </c>
      <c r="H716">
        <f t="shared" si="52"/>
        <v>19.255233661392548</v>
      </c>
      <c r="I716">
        <f t="shared" si="50"/>
        <v>1810757055523.9924</v>
      </c>
      <c r="J716" s="6">
        <v>0.12</v>
      </c>
      <c r="K716" s="5">
        <f t="shared" si="53"/>
        <v>0.16661572392050045</v>
      </c>
      <c r="L716" s="7"/>
    </row>
    <row r="717" spans="1:12" x14ac:dyDescent="0.25">
      <c r="A717" t="s">
        <v>20</v>
      </c>
      <c r="B717">
        <v>1993</v>
      </c>
      <c r="C717">
        <v>1798809520344.042</v>
      </c>
      <c r="D717">
        <v>296988768935.284</v>
      </c>
      <c r="E717">
        <v>57718614</v>
      </c>
      <c r="F717" s="4">
        <v>1577</v>
      </c>
      <c r="G717">
        <f t="shared" si="51"/>
        <v>91022254278</v>
      </c>
      <c r="H717">
        <f t="shared" si="52"/>
        <v>19.762304665078073</v>
      </c>
      <c r="I717">
        <f t="shared" si="50"/>
        <v>1890454977796.3972</v>
      </c>
      <c r="J717" s="6">
        <v>0.12</v>
      </c>
      <c r="K717" s="5">
        <f t="shared" si="53"/>
        <v>0.1651029559141324</v>
      </c>
      <c r="L717" s="7"/>
    </row>
    <row r="718" spans="1:12" x14ac:dyDescent="0.25">
      <c r="A718" t="s">
        <v>20</v>
      </c>
      <c r="B718">
        <v>1994</v>
      </c>
      <c r="C718">
        <v>1867991898738.7817</v>
      </c>
      <c r="D718">
        <v>315985500866.42407</v>
      </c>
      <c r="E718">
        <v>57865745</v>
      </c>
      <c r="F718" s="4">
        <v>1586</v>
      </c>
      <c r="G718">
        <f t="shared" si="51"/>
        <v>91775071570</v>
      </c>
      <c r="H718">
        <f t="shared" si="52"/>
        <v>20.354022794893712</v>
      </c>
      <c r="I718">
        <f t="shared" si="50"/>
        <v>1979585881327.2537</v>
      </c>
      <c r="J718" s="6">
        <v>0.12</v>
      </c>
      <c r="K718" s="5">
        <f t="shared" si="53"/>
        <v>0.16915785399271219</v>
      </c>
      <c r="L718" s="7"/>
    </row>
    <row r="719" spans="1:12" x14ac:dyDescent="0.25">
      <c r="A719" t="s">
        <v>20</v>
      </c>
      <c r="B719">
        <v>1995</v>
      </c>
      <c r="C719">
        <v>1915283289476.8774</v>
      </c>
      <c r="D719">
        <v>330962596141.76556</v>
      </c>
      <c r="E719">
        <v>58019030</v>
      </c>
      <c r="F719" s="4">
        <v>1586</v>
      </c>
      <c r="G719">
        <f t="shared" si="51"/>
        <v>92018181580</v>
      </c>
      <c r="H719">
        <f t="shared" si="52"/>
        <v>20.814183203693748</v>
      </c>
      <c r="I719">
        <f t="shared" si="50"/>
        <v>2072998171709.7488</v>
      </c>
      <c r="J719" s="6">
        <v>0.12</v>
      </c>
      <c r="K719" s="5">
        <f t="shared" si="53"/>
        <v>0.17280085821255278</v>
      </c>
      <c r="L719" s="7"/>
    </row>
    <row r="720" spans="1:12" x14ac:dyDescent="0.25">
      <c r="A720" t="s">
        <v>20</v>
      </c>
      <c r="B720">
        <v>1996</v>
      </c>
      <c r="C720">
        <v>1964735787495.5691</v>
      </c>
      <c r="D720">
        <v>346406590983.04541</v>
      </c>
      <c r="E720">
        <v>58166950</v>
      </c>
      <c r="F720" s="4">
        <v>1586</v>
      </c>
      <c r="G720">
        <f t="shared" si="51"/>
        <v>92252782700</v>
      </c>
      <c r="H720">
        <f t="shared" si="52"/>
        <v>21.297306487596813</v>
      </c>
      <c r="I720">
        <f t="shared" si="50"/>
        <v>2170644982087.6243</v>
      </c>
      <c r="J720" s="6">
        <v>0.12</v>
      </c>
      <c r="K720" s="5">
        <f t="shared" si="53"/>
        <v>0.17631204825998856</v>
      </c>
      <c r="L720" s="7"/>
    </row>
    <row r="721" spans="1:12" x14ac:dyDescent="0.25">
      <c r="A721" t="s">
        <v>20</v>
      </c>
      <c r="B721">
        <v>1997</v>
      </c>
      <c r="C721">
        <v>2061492115418.5598</v>
      </c>
      <c r="D721">
        <v>341298525756.68658</v>
      </c>
      <c r="E721">
        <v>58316954</v>
      </c>
      <c r="F721" s="4">
        <v>1586</v>
      </c>
      <c r="G721">
        <f t="shared" si="51"/>
        <v>92490689044</v>
      </c>
      <c r="H721">
        <f t="shared" si="52"/>
        <v>22.288644800103711</v>
      </c>
      <c r="I721">
        <f t="shared" si="50"/>
        <v>2251466109993.7959</v>
      </c>
      <c r="J721" s="6">
        <v>0.12</v>
      </c>
      <c r="K721" s="5">
        <f t="shared" si="53"/>
        <v>0.16555897701669853</v>
      </c>
      <c r="L721" s="7"/>
    </row>
    <row r="722" spans="1:12" x14ac:dyDescent="0.25">
      <c r="A722" t="s">
        <v>20</v>
      </c>
      <c r="B722">
        <v>1998</v>
      </c>
      <c r="C722">
        <v>2131637646138.5269</v>
      </c>
      <c r="D722">
        <v>360943165302.57684</v>
      </c>
      <c r="E722">
        <v>58487141</v>
      </c>
      <c r="F722" s="4">
        <v>1582</v>
      </c>
      <c r="G722">
        <f t="shared" si="51"/>
        <v>92526657062</v>
      </c>
      <c r="H722">
        <f t="shared" si="52"/>
        <v>23.038092089614402</v>
      </c>
      <c r="I722">
        <f t="shared" si="50"/>
        <v>2342233342097.1172</v>
      </c>
      <c r="J722" s="6">
        <v>0.12</v>
      </c>
      <c r="K722" s="5">
        <f t="shared" si="53"/>
        <v>0.16932669863305677</v>
      </c>
      <c r="L722" s="7"/>
    </row>
    <row r="723" spans="1:12" x14ac:dyDescent="0.25">
      <c r="A723" t="s">
        <v>20</v>
      </c>
      <c r="B723">
        <v>1999</v>
      </c>
      <c r="C723">
        <v>2196830016070.8086</v>
      </c>
      <c r="D723">
        <v>367162566598.64246</v>
      </c>
      <c r="E723">
        <v>58682466</v>
      </c>
      <c r="F723" s="4">
        <v>1572</v>
      </c>
      <c r="G723">
        <f t="shared" si="51"/>
        <v>92248836552</v>
      </c>
      <c r="H723">
        <f t="shared" si="52"/>
        <v>23.814175855025244</v>
      </c>
      <c r="I723">
        <f t="shared" si="50"/>
        <v>2428327907644.1055</v>
      </c>
      <c r="J723" s="6">
        <v>0.12</v>
      </c>
      <c r="K723" s="5">
        <f t="shared" si="53"/>
        <v>0.16713289781761978</v>
      </c>
      <c r="L723" s="7"/>
    </row>
    <row r="724" spans="1:12" x14ac:dyDescent="0.25">
      <c r="A724" t="s">
        <v>20</v>
      </c>
      <c r="B724">
        <v>2000</v>
      </c>
      <c r="C724">
        <v>2292208338906.25</v>
      </c>
      <c r="D724">
        <v>388184905676.53802</v>
      </c>
      <c r="E724">
        <v>58892514</v>
      </c>
      <c r="F724" s="4">
        <v>1558</v>
      </c>
      <c r="G724">
        <f t="shared" si="51"/>
        <v>91754536812</v>
      </c>
      <c r="H724">
        <f t="shared" si="52"/>
        <v>24.981961857677501</v>
      </c>
      <c r="I724">
        <f t="shared" si="50"/>
        <v>2525113464403.3506</v>
      </c>
      <c r="J724" s="6">
        <v>0.12</v>
      </c>
      <c r="K724" s="5">
        <f t="shared" si="53"/>
        <v>0.16934974848829157</v>
      </c>
      <c r="L724" s="7"/>
    </row>
    <row r="725" spans="1:12" x14ac:dyDescent="0.25">
      <c r="A725" t="s">
        <v>20</v>
      </c>
      <c r="B725">
        <v>2001</v>
      </c>
      <c r="C725">
        <v>2351181825459.1133</v>
      </c>
      <c r="D725">
        <v>395896707472.5578</v>
      </c>
      <c r="E725">
        <v>59119673</v>
      </c>
      <c r="F725" s="4">
        <v>1562</v>
      </c>
      <c r="G725">
        <f t="shared" si="51"/>
        <v>92344929226</v>
      </c>
      <c r="H725">
        <f t="shared" si="52"/>
        <v>25.460865530634148</v>
      </c>
      <c r="I725">
        <f t="shared" si="50"/>
        <v>2617996556147.5063</v>
      </c>
      <c r="J725" s="6">
        <v>0.12</v>
      </c>
      <c r="K725" s="5">
        <f t="shared" si="53"/>
        <v>0.16838200397166281</v>
      </c>
      <c r="L725" s="7"/>
    </row>
    <row r="726" spans="1:12" x14ac:dyDescent="0.25">
      <c r="A726" t="s">
        <v>20</v>
      </c>
      <c r="B726">
        <v>2002</v>
      </c>
      <c r="C726">
        <v>2393401075136.1782</v>
      </c>
      <c r="D726">
        <v>403923301756.84955</v>
      </c>
      <c r="E726">
        <v>59370479</v>
      </c>
      <c r="F726" s="4">
        <v>1543</v>
      </c>
      <c r="G726">
        <f t="shared" si="51"/>
        <v>91608649097</v>
      </c>
      <c r="H726">
        <f t="shared" si="52"/>
        <v>26.126365782361017</v>
      </c>
      <c r="I726">
        <f t="shared" si="50"/>
        <v>2707760271166.6553</v>
      </c>
      <c r="J726" s="6">
        <v>0.12</v>
      </c>
      <c r="K726" s="5">
        <f t="shared" si="53"/>
        <v>0.16876540499333878</v>
      </c>
      <c r="L726" s="7"/>
    </row>
    <row r="727" spans="1:12" x14ac:dyDescent="0.25">
      <c r="A727" t="s">
        <v>20</v>
      </c>
      <c r="B727">
        <v>2003</v>
      </c>
      <c r="C727">
        <v>2468849371075.25</v>
      </c>
      <c r="D727">
        <v>413953359577.61072</v>
      </c>
      <c r="E727">
        <v>59647577</v>
      </c>
      <c r="F727" s="4">
        <v>1534</v>
      </c>
      <c r="G727">
        <f t="shared" si="51"/>
        <v>91499383118</v>
      </c>
      <c r="H727">
        <f t="shared" si="52"/>
        <v>26.982142249979514</v>
      </c>
      <c r="I727">
        <f t="shared" si="50"/>
        <v>2796782398204.2676</v>
      </c>
      <c r="J727" s="6">
        <v>0.12</v>
      </c>
      <c r="K727" s="5">
        <f t="shared" si="53"/>
        <v>0.1676705612045189</v>
      </c>
      <c r="L727" s="7"/>
    </row>
    <row r="728" spans="1:12" x14ac:dyDescent="0.25">
      <c r="A728" t="s">
        <v>20</v>
      </c>
      <c r="B728">
        <v>2004</v>
      </c>
      <c r="C728">
        <v>2529531328675.5728</v>
      </c>
      <c r="D728">
        <v>425157201382.4187</v>
      </c>
      <c r="E728">
        <v>59987905</v>
      </c>
      <c r="F728" s="4">
        <v>1534</v>
      </c>
      <c r="G728">
        <f t="shared" si="51"/>
        <v>92021446270</v>
      </c>
      <c r="H728">
        <f t="shared" si="52"/>
        <v>27.488497857919754</v>
      </c>
      <c r="I728">
        <f t="shared" si="50"/>
        <v>2886325711802.1738</v>
      </c>
      <c r="J728" s="6">
        <v>0.12</v>
      </c>
      <c r="K728" s="5">
        <f t="shared" si="53"/>
        <v>0.1680774602641609</v>
      </c>
      <c r="L728" s="7"/>
    </row>
    <row r="729" spans="1:12" x14ac:dyDescent="0.25">
      <c r="A729" t="s">
        <v>20</v>
      </c>
      <c r="B729">
        <v>2005</v>
      </c>
      <c r="C729">
        <v>2598654838739.1724</v>
      </c>
      <c r="D729">
        <v>442835338918.24036</v>
      </c>
      <c r="E729">
        <v>60401206</v>
      </c>
      <c r="F729" s="4">
        <v>1544</v>
      </c>
      <c r="G729">
        <f t="shared" si="51"/>
        <v>93259462064</v>
      </c>
      <c r="H729">
        <f t="shared" si="52"/>
        <v>27.864784776002956</v>
      </c>
      <c r="I729">
        <f t="shared" si="50"/>
        <v>2982801965304.1533</v>
      </c>
      <c r="J729" s="6">
        <v>0.12</v>
      </c>
      <c r="K729" s="5">
        <f t="shared" si="53"/>
        <v>0.17040944888744722</v>
      </c>
      <c r="L729" s="7"/>
    </row>
    <row r="730" spans="1:12" x14ac:dyDescent="0.25">
      <c r="A730" t="s">
        <v>20</v>
      </c>
      <c r="B730">
        <v>2006</v>
      </c>
      <c r="C730">
        <v>2660520859212.0483</v>
      </c>
      <c r="D730">
        <v>455379920256.43066</v>
      </c>
      <c r="E730">
        <v>60846820</v>
      </c>
      <c r="F730" s="4">
        <v>1536</v>
      </c>
      <c r="G730">
        <f t="shared" si="51"/>
        <v>93460715520</v>
      </c>
      <c r="H730">
        <f t="shared" si="52"/>
        <v>28.466728982432343</v>
      </c>
      <c r="I730">
        <f t="shared" si="50"/>
        <v>3080245649724.0854</v>
      </c>
      <c r="J730" s="6">
        <v>0.12</v>
      </c>
      <c r="K730" s="5">
        <f t="shared" si="53"/>
        <v>0.17116194322614633</v>
      </c>
      <c r="L730" s="7"/>
    </row>
    <row r="731" spans="1:12" x14ac:dyDescent="0.25">
      <c r="A731" t="s">
        <v>20</v>
      </c>
      <c r="B731">
        <v>2007</v>
      </c>
      <c r="C731">
        <v>2730356339665.7891</v>
      </c>
      <c r="D731">
        <v>475417096315.4743</v>
      </c>
      <c r="E731">
        <v>61322463</v>
      </c>
      <c r="F731" s="4">
        <v>1541</v>
      </c>
      <c r="G731">
        <f t="shared" si="51"/>
        <v>94497915483</v>
      </c>
      <c r="H731">
        <f t="shared" si="52"/>
        <v>28.893297018355661</v>
      </c>
      <c r="I731">
        <f t="shared" si="50"/>
        <v>3186033268072.6694</v>
      </c>
      <c r="J731" s="6">
        <v>0.12</v>
      </c>
      <c r="K731" s="5">
        <f t="shared" si="53"/>
        <v>0.17412272874743814</v>
      </c>
      <c r="L731" s="7"/>
    </row>
    <row r="732" spans="1:12" x14ac:dyDescent="0.25">
      <c r="A732" t="s">
        <v>20</v>
      </c>
      <c r="B732">
        <v>2008</v>
      </c>
      <c r="C732">
        <v>2723563286863.3179</v>
      </c>
      <c r="D732">
        <v>459941238142.04822</v>
      </c>
      <c r="E732">
        <v>61806995</v>
      </c>
      <c r="F732" s="4">
        <v>1525</v>
      </c>
      <c r="G732">
        <f t="shared" si="51"/>
        <v>94255667375</v>
      </c>
      <c r="H732">
        <f t="shared" si="52"/>
        <v>28.895485679683439</v>
      </c>
      <c r="I732">
        <f t="shared" si="50"/>
        <v>3263650514045.9976</v>
      </c>
      <c r="J732" s="6">
        <v>0.12</v>
      </c>
      <c r="K732" s="5">
        <f t="shared" si="53"/>
        <v>0.16887481203778262</v>
      </c>
      <c r="L732" s="7"/>
    </row>
    <row r="733" spans="1:12" x14ac:dyDescent="0.25">
      <c r="A733" t="s">
        <v>20</v>
      </c>
      <c r="B733">
        <v>2009</v>
      </c>
      <c r="C733">
        <v>2597719582107.3501</v>
      </c>
      <c r="D733">
        <v>403402045387.3808</v>
      </c>
      <c r="E733">
        <v>62276270</v>
      </c>
      <c r="F733" s="4">
        <v>1516</v>
      </c>
      <c r="G733">
        <f t="shared" si="51"/>
        <v>94410825320</v>
      </c>
      <c r="H733">
        <f t="shared" si="52"/>
        <v>27.515060622577238</v>
      </c>
      <c r="I733">
        <f t="shared" si="50"/>
        <v>3275414497747.8589</v>
      </c>
      <c r="J733" s="6">
        <v>0.12</v>
      </c>
      <c r="K733" s="5">
        <f t="shared" si="53"/>
        <v>0.15529083591852846</v>
      </c>
      <c r="L733" s="7"/>
    </row>
    <row r="734" spans="1:12" x14ac:dyDescent="0.25">
      <c r="A734" t="s">
        <v>20</v>
      </c>
      <c r="B734">
        <v>2010</v>
      </c>
      <c r="C734">
        <v>2655734846473.6914</v>
      </c>
      <c r="D734">
        <v>422413274401.31409</v>
      </c>
      <c r="E734">
        <v>62766365</v>
      </c>
      <c r="F734" s="4">
        <v>1507</v>
      </c>
      <c r="G734">
        <f t="shared" si="51"/>
        <v>94588912055</v>
      </c>
      <c r="H734">
        <f t="shared" si="52"/>
        <v>28.076597867300542</v>
      </c>
      <c r="I734">
        <f t="shared" si="50"/>
        <v>3304778032419.4297</v>
      </c>
      <c r="J734" s="6">
        <v>0.12</v>
      </c>
      <c r="K734" s="5">
        <f t="shared" si="53"/>
        <v>0.15905702143502701</v>
      </c>
      <c r="L734" s="7"/>
    </row>
    <row r="735" spans="1:12" x14ac:dyDescent="0.25">
      <c r="A735" t="s">
        <v>20</v>
      </c>
      <c r="B735">
        <v>2011</v>
      </c>
      <c r="C735">
        <v>2685966732014.0283</v>
      </c>
      <c r="D735">
        <v>422860612301.31458</v>
      </c>
      <c r="E735">
        <v>63258810</v>
      </c>
      <c r="F735" s="4">
        <v>1515</v>
      </c>
      <c r="G735">
        <f t="shared" si="51"/>
        <v>95837097150</v>
      </c>
      <c r="H735">
        <f t="shared" si="52"/>
        <v>28.026378217717422</v>
      </c>
      <c r="I735">
        <f t="shared" si="50"/>
        <v>3331065280830.4126</v>
      </c>
      <c r="J735" s="6">
        <v>0.12</v>
      </c>
      <c r="K735" s="5">
        <f t="shared" si="53"/>
        <v>0.15743330223015808</v>
      </c>
      <c r="L735" s="7"/>
    </row>
    <row r="736" spans="1:12" x14ac:dyDescent="0.25">
      <c r="A736" t="s">
        <v>20</v>
      </c>
      <c r="B736">
        <v>2012</v>
      </c>
      <c r="C736">
        <v>2726497926337.3174</v>
      </c>
      <c r="D736">
        <v>429732539684.1806</v>
      </c>
      <c r="E736">
        <v>63700215</v>
      </c>
      <c r="F736" s="4">
        <v>1531</v>
      </c>
      <c r="G736">
        <f t="shared" si="51"/>
        <v>97525029165</v>
      </c>
      <c r="H736">
        <f t="shared" si="52"/>
        <v>27.956904496018435</v>
      </c>
      <c r="I736">
        <f t="shared" si="50"/>
        <v>3361069986814.9438</v>
      </c>
      <c r="J736" s="6">
        <v>0.12</v>
      </c>
      <c r="K736" s="5">
        <f t="shared" si="53"/>
        <v>0.15761337484729665</v>
      </c>
      <c r="L736" s="7"/>
    </row>
    <row r="737" spans="1:12" x14ac:dyDescent="0.25">
      <c r="A737" t="s">
        <v>20</v>
      </c>
      <c r="B737">
        <v>2013</v>
      </c>
      <c r="C737">
        <v>2775572748536.7471</v>
      </c>
      <c r="D737">
        <v>443566883196.54126</v>
      </c>
      <c r="E737">
        <v>64128273</v>
      </c>
      <c r="F737" s="4">
        <v>1533</v>
      </c>
      <c r="G737">
        <f t="shared" si="51"/>
        <v>98308642509</v>
      </c>
      <c r="H737">
        <f t="shared" si="52"/>
        <v>28.233252720203595</v>
      </c>
      <c r="I737">
        <f t="shared" si="50"/>
        <v>3401308471593.6914</v>
      </c>
      <c r="J737" s="6">
        <v>0.12</v>
      </c>
      <c r="K737" s="5">
        <f t="shared" si="53"/>
        <v>0.15981093755527939</v>
      </c>
      <c r="L737" s="7"/>
    </row>
    <row r="738" spans="1:12" x14ac:dyDescent="0.25">
      <c r="A738" t="s">
        <v>20</v>
      </c>
      <c r="B738">
        <v>2014</v>
      </c>
      <c r="C738">
        <v>2864242231205.4688</v>
      </c>
      <c r="D738">
        <v>474777313422.64362</v>
      </c>
      <c r="E738">
        <v>64602298</v>
      </c>
      <c r="F738" s="4">
        <v>1542</v>
      </c>
      <c r="G738">
        <f t="shared" si="51"/>
        <v>99616743516</v>
      </c>
      <c r="H738">
        <f t="shared" si="52"/>
        <v>28.752618587109573</v>
      </c>
      <c r="I738">
        <f t="shared" si="50"/>
        <v>3467928768425.0918</v>
      </c>
      <c r="J738" s="6">
        <v>0.12</v>
      </c>
      <c r="K738" s="5">
        <f t="shared" si="53"/>
        <v>0.16576018196017761</v>
      </c>
      <c r="L738" s="7"/>
    </row>
    <row r="739" spans="1:12" x14ac:dyDescent="0.25">
      <c r="A739" t="s">
        <v>20</v>
      </c>
      <c r="B739">
        <v>2015</v>
      </c>
      <c r="C739">
        <v>2927911140916.7314</v>
      </c>
      <c r="D739">
        <v>508708731047.37189</v>
      </c>
      <c r="E739">
        <v>65116219</v>
      </c>
      <c r="F739" s="4">
        <v>1525</v>
      </c>
      <c r="G739">
        <f t="shared" si="51"/>
        <v>99302233975</v>
      </c>
      <c r="H739">
        <f t="shared" si="52"/>
        <v>29.484846651625709</v>
      </c>
      <c r="I739">
        <f t="shared" si="50"/>
        <v>3560486047261.4531</v>
      </c>
      <c r="J739" s="6">
        <v>0.12</v>
      </c>
      <c r="K739" s="5">
        <f t="shared" si="53"/>
        <v>0.17374459352208849</v>
      </c>
      <c r="L739" s="7"/>
    </row>
    <row r="740" spans="1:12" x14ac:dyDescent="0.25">
      <c r="A740" t="s">
        <v>20</v>
      </c>
      <c r="B740">
        <v>2016</v>
      </c>
      <c r="C740">
        <v>2984177104376.0229</v>
      </c>
      <c r="D740">
        <v>534865898961.74036</v>
      </c>
      <c r="E740">
        <v>65611593</v>
      </c>
      <c r="F740" s="4">
        <v>1541</v>
      </c>
      <c r="G740">
        <f t="shared" si="51"/>
        <v>101107464813</v>
      </c>
      <c r="H740">
        <f t="shared" si="52"/>
        <v>29.514903868822248</v>
      </c>
      <c r="I740">
        <f t="shared" si="50"/>
        <v>3668093620551.8188</v>
      </c>
      <c r="J740" s="6">
        <v>0.12</v>
      </c>
      <c r="K740" s="5">
        <f t="shared" si="53"/>
        <v>0.17923396643497078</v>
      </c>
      <c r="L740" s="7"/>
    </row>
    <row r="741" spans="1:12" x14ac:dyDescent="0.25">
      <c r="A741" t="s">
        <v>20</v>
      </c>
      <c r="B741">
        <v>2017</v>
      </c>
      <c r="C741">
        <v>3063451915172.5337</v>
      </c>
      <c r="D741">
        <v>553599293958.24695</v>
      </c>
      <c r="E741">
        <v>66058859</v>
      </c>
      <c r="F741" s="4">
        <v>1536</v>
      </c>
      <c r="G741">
        <f t="shared" si="51"/>
        <v>101466407424</v>
      </c>
      <c r="H741">
        <f t="shared" si="52"/>
        <v>30.191784581188699</v>
      </c>
      <c r="I741">
        <f t="shared" si="50"/>
        <v>3781521680043.8477</v>
      </c>
      <c r="J741" s="6">
        <v>0.12</v>
      </c>
      <c r="K741" s="5">
        <f t="shared" si="53"/>
        <v>0.18071094611160829</v>
      </c>
      <c r="L741" s="7"/>
    </row>
    <row r="742" spans="1:12" x14ac:dyDescent="0.25">
      <c r="A742" t="s">
        <v>20</v>
      </c>
      <c r="B742">
        <v>2018</v>
      </c>
      <c r="C742">
        <v>3106499243290.9697</v>
      </c>
      <c r="D742">
        <v>551073299885.68958</v>
      </c>
      <c r="E742">
        <v>66460344</v>
      </c>
      <c r="F742" s="4">
        <v>1536</v>
      </c>
      <c r="G742">
        <f t="shared" si="51"/>
        <v>102083088384</v>
      </c>
      <c r="H742">
        <f t="shared" si="52"/>
        <v>30.431086015006059</v>
      </c>
      <c r="I742">
        <f t="shared" si="50"/>
        <v>3878812378324.2754</v>
      </c>
      <c r="J742" s="6">
        <v>0.12</v>
      </c>
      <c r="K742" s="5">
        <f t="shared" si="53"/>
        <v>0.17739366944184168</v>
      </c>
      <c r="L742" s="7"/>
    </row>
    <row r="743" spans="1:12" x14ac:dyDescent="0.25">
      <c r="A743" t="s">
        <v>20</v>
      </c>
      <c r="B743">
        <v>2019</v>
      </c>
      <c r="C743">
        <v>3156963551827.5205</v>
      </c>
      <c r="D743">
        <v>562831535558.73181</v>
      </c>
      <c r="E743">
        <v>66836327</v>
      </c>
      <c r="F743" s="4">
        <v>1537</v>
      </c>
      <c r="G743">
        <f t="shared" si="51"/>
        <v>102727434599</v>
      </c>
      <c r="H743">
        <f t="shared" si="52"/>
        <v>30.731455177001489</v>
      </c>
      <c r="I743">
        <f t="shared" si="50"/>
        <v>3976186428484.0942</v>
      </c>
      <c r="J743" s="6">
        <v>0.12</v>
      </c>
      <c r="K743" s="5">
        <f t="shared" si="53"/>
        <v>0.178282557374765</v>
      </c>
      <c r="L743" s="7"/>
    </row>
    <row r="744" spans="1:12" x14ac:dyDescent="0.25">
      <c r="A744" t="s">
        <v>20</v>
      </c>
      <c r="B744">
        <v>2020</v>
      </c>
      <c r="C744">
        <v>2831893576021.7729</v>
      </c>
      <c r="D744">
        <v>508356978560.47693</v>
      </c>
      <c r="E744">
        <v>67081234</v>
      </c>
      <c r="F744" s="4">
        <v>1364</v>
      </c>
      <c r="G744">
        <f t="shared" si="51"/>
        <v>91498803176</v>
      </c>
      <c r="H744">
        <f t="shared" si="52"/>
        <v>30.950061396700043</v>
      </c>
      <c r="I744">
        <f t="shared" si="50"/>
        <v>4007401035626.48</v>
      </c>
      <c r="J744" s="6">
        <v>0.12</v>
      </c>
      <c r="K744" s="5">
        <f t="shared" si="53"/>
        <v>0.17951132869710937</v>
      </c>
      <c r="L744" s="7"/>
    </row>
    <row r="745" spans="1:12" x14ac:dyDescent="0.25">
      <c r="A745" t="s">
        <v>20</v>
      </c>
      <c r="B745">
        <v>2021</v>
      </c>
      <c r="C745">
        <v>3074755378779.1851</v>
      </c>
      <c r="D745">
        <v>546899418791.19312</v>
      </c>
      <c r="E745">
        <v>67026292</v>
      </c>
      <c r="F745" s="4">
        <v>1498</v>
      </c>
      <c r="G745">
        <f t="shared" si="51"/>
        <v>100405385416</v>
      </c>
      <c r="H745">
        <f t="shared" si="52"/>
        <v>30.62341094593528</v>
      </c>
      <c r="I745">
        <f t="shared" si="50"/>
        <v>4073412330142.4951</v>
      </c>
      <c r="J745" s="6">
        <v>0.12</v>
      </c>
      <c r="K745" s="5">
        <f t="shared" si="53"/>
        <v>0.17786761918222468</v>
      </c>
      <c r="L745" s="7"/>
    </row>
    <row r="746" spans="1:12" x14ac:dyDescent="0.25">
      <c r="A746" t="s">
        <v>20</v>
      </c>
      <c r="B746">
        <v>2022</v>
      </c>
      <c r="C746">
        <v>3223545409624.7012</v>
      </c>
      <c r="D746">
        <v>574900741220.18848</v>
      </c>
      <c r="E746">
        <v>67791000</v>
      </c>
      <c r="F746" s="4">
        <v>1531</v>
      </c>
      <c r="G746">
        <f t="shared" si="51"/>
        <v>103788021000</v>
      </c>
      <c r="H746">
        <f t="shared" si="52"/>
        <v>31.058935111834352</v>
      </c>
      <c r="I746">
        <f t="shared" si="50"/>
        <v>4159503591745.584</v>
      </c>
      <c r="J746" s="6">
        <v>0.12</v>
      </c>
      <c r="K746" s="5">
        <f t="shared" si="53"/>
        <v>0.17834423535765265</v>
      </c>
      <c r="L746" s="7"/>
    </row>
    <row r="747" spans="1:12" x14ac:dyDescent="0.25">
      <c r="A747" t="s">
        <v>21</v>
      </c>
      <c r="B747">
        <v>1980</v>
      </c>
      <c r="C747">
        <v>7062521475999.999</v>
      </c>
      <c r="D747">
        <v>1218057861999.9995</v>
      </c>
      <c r="E747">
        <v>227225000</v>
      </c>
      <c r="F747" s="4">
        <v>1859</v>
      </c>
      <c r="G747">
        <f t="shared" si="51"/>
        <v>422411275000</v>
      </c>
      <c r="H747">
        <f t="shared" si="52"/>
        <v>16.719538265165859</v>
      </c>
      <c r="I747">
        <f>D747</f>
        <v>1218057861999.9995</v>
      </c>
      <c r="J747" s="6">
        <v>0.12</v>
      </c>
      <c r="K747" s="5">
        <f t="shared" si="53"/>
        <v>0.17246784539193658</v>
      </c>
      <c r="L747" s="7"/>
    </row>
    <row r="748" spans="1:12" x14ac:dyDescent="0.25">
      <c r="A748" t="s">
        <v>21</v>
      </c>
      <c r="B748">
        <v>1981</v>
      </c>
      <c r="C748">
        <v>7241747172999.999</v>
      </c>
      <c r="D748">
        <v>1241295577999.9993</v>
      </c>
      <c r="E748">
        <v>229466000</v>
      </c>
      <c r="F748" s="4">
        <v>1854</v>
      </c>
      <c r="G748">
        <f t="shared" si="51"/>
        <v>425429964000</v>
      </c>
      <c r="H748">
        <f t="shared" si="52"/>
        <v>17.022184109721053</v>
      </c>
      <c r="I748">
        <f>I747-(I747*J747)+D748</f>
        <v>2313186496559.999</v>
      </c>
      <c r="J748" s="6">
        <v>0.12</v>
      </c>
      <c r="K748" s="5">
        <f t="shared" si="53"/>
        <v>0.17140830083491779</v>
      </c>
      <c r="L748" s="7"/>
    </row>
    <row r="749" spans="1:12" x14ac:dyDescent="0.25">
      <c r="A749" t="s">
        <v>21</v>
      </c>
      <c r="B749">
        <v>1982</v>
      </c>
      <c r="C749">
        <v>7111177472999.999</v>
      </c>
      <c r="D749">
        <v>1179656251999.9993</v>
      </c>
      <c r="E749">
        <v>231664000</v>
      </c>
      <c r="F749" s="4">
        <v>1846</v>
      </c>
      <c r="G749">
        <f t="shared" si="51"/>
        <v>427651744000</v>
      </c>
      <c r="H749">
        <f t="shared" si="52"/>
        <v>16.628430896799987</v>
      </c>
      <c r="I749">
        <f t="shared" ref="I749:I789" si="54">I748-(I748*J748)+D749</f>
        <v>3215260368972.7983</v>
      </c>
      <c r="J749" s="6">
        <v>0.12</v>
      </c>
      <c r="K749" s="5">
        <f t="shared" si="53"/>
        <v>0.16588761235097352</v>
      </c>
      <c r="L749" s="7"/>
    </row>
    <row r="750" spans="1:12" x14ac:dyDescent="0.25">
      <c r="A750" t="s">
        <v>21</v>
      </c>
      <c r="B750">
        <v>1983</v>
      </c>
      <c r="C750">
        <v>7437138984999.999</v>
      </c>
      <c r="D750">
        <v>1265291536999.999</v>
      </c>
      <c r="E750">
        <v>233792000</v>
      </c>
      <c r="F750" s="4">
        <v>1867</v>
      </c>
      <c r="G750">
        <f t="shared" si="51"/>
        <v>436489664000</v>
      </c>
      <c r="H750">
        <f t="shared" si="52"/>
        <v>17.038522554797538</v>
      </c>
      <c r="I750">
        <f t="shared" si="54"/>
        <v>4094720661696.0615</v>
      </c>
      <c r="J750" s="6">
        <v>0.12</v>
      </c>
      <c r="K750" s="5">
        <f t="shared" si="53"/>
        <v>0.17013149001947814</v>
      </c>
      <c r="L750" s="7"/>
    </row>
    <row r="751" spans="1:12" x14ac:dyDescent="0.25">
      <c r="A751" t="s">
        <v>21</v>
      </c>
      <c r="B751">
        <v>1984</v>
      </c>
      <c r="C751">
        <v>7975324063999.999</v>
      </c>
      <c r="D751">
        <v>1455201120999.9988</v>
      </c>
      <c r="E751">
        <v>235825000</v>
      </c>
      <c r="F751" s="4">
        <v>1883</v>
      </c>
      <c r="G751">
        <f t="shared" si="51"/>
        <v>444058475000</v>
      </c>
      <c r="H751">
        <f t="shared" si="52"/>
        <v>17.960076235455251</v>
      </c>
      <c r="I751">
        <f t="shared" si="54"/>
        <v>5058555303292.5332</v>
      </c>
      <c r="J751" s="6">
        <v>0.12</v>
      </c>
      <c r="K751" s="5">
        <f t="shared" si="53"/>
        <v>0.18246294562106447</v>
      </c>
      <c r="L751" s="7"/>
    </row>
    <row r="752" spans="1:12" x14ac:dyDescent="0.25">
      <c r="A752" t="s">
        <v>21</v>
      </c>
      <c r="B752">
        <v>1985</v>
      </c>
      <c r="C752">
        <v>8307861209999.999</v>
      </c>
      <c r="D752">
        <v>1557132741999.9988</v>
      </c>
      <c r="E752">
        <v>237924000</v>
      </c>
      <c r="F752" s="4">
        <v>1882</v>
      </c>
      <c r="G752">
        <f t="shared" si="51"/>
        <v>447772968000</v>
      </c>
      <c r="H752">
        <f t="shared" si="52"/>
        <v>18.553735494814415</v>
      </c>
      <c r="I752">
        <f t="shared" si="54"/>
        <v>6008661408897.4287</v>
      </c>
      <c r="J752" s="6">
        <v>0.12</v>
      </c>
      <c r="K752" s="5">
        <f t="shared" si="53"/>
        <v>0.18742883428597851</v>
      </c>
      <c r="L752" s="7"/>
    </row>
    <row r="753" spans="1:12" x14ac:dyDescent="0.25">
      <c r="A753" t="s">
        <v>21</v>
      </c>
      <c r="B753">
        <v>1986</v>
      </c>
      <c r="C753">
        <v>8595533785999.999</v>
      </c>
      <c r="D753">
        <v>1606118255999.999</v>
      </c>
      <c r="E753">
        <v>240133000</v>
      </c>
      <c r="F753" s="4">
        <v>1875</v>
      </c>
      <c r="G753">
        <f t="shared" si="51"/>
        <v>450249375000</v>
      </c>
      <c r="H753">
        <f t="shared" si="52"/>
        <v>19.090606813168812</v>
      </c>
      <c r="I753">
        <f t="shared" si="54"/>
        <v>6893740295829.7363</v>
      </c>
      <c r="J753" s="6">
        <v>0.12</v>
      </c>
      <c r="K753" s="5">
        <f t="shared" si="53"/>
        <v>0.18685497561721751</v>
      </c>
      <c r="L753" s="7"/>
    </row>
    <row r="754" spans="1:12" x14ac:dyDescent="0.25">
      <c r="A754" t="s">
        <v>21</v>
      </c>
      <c r="B754">
        <v>1987</v>
      </c>
      <c r="C754">
        <v>8892477646000</v>
      </c>
      <c r="D754">
        <v>1634515969999.9988</v>
      </c>
      <c r="E754">
        <v>242289000</v>
      </c>
      <c r="F754" s="4">
        <v>1883</v>
      </c>
      <c r="G754">
        <f t="shared" si="51"/>
        <v>456230187000</v>
      </c>
      <c r="H754">
        <f t="shared" si="52"/>
        <v>19.49120838424486</v>
      </c>
      <c r="I754">
        <f t="shared" si="54"/>
        <v>7701007430330.167</v>
      </c>
      <c r="J754" s="6">
        <v>0.12</v>
      </c>
      <c r="K754" s="5">
        <f t="shared" si="53"/>
        <v>0.18380883653221597</v>
      </c>
      <c r="L754" s="7"/>
    </row>
    <row r="755" spans="1:12" x14ac:dyDescent="0.25">
      <c r="A755" t="s">
        <v>21</v>
      </c>
      <c r="B755">
        <v>1988</v>
      </c>
      <c r="C755">
        <v>9263914872000</v>
      </c>
      <c r="D755">
        <v>1672307044999.9988</v>
      </c>
      <c r="E755">
        <v>244499000</v>
      </c>
      <c r="F755" s="4">
        <v>1883</v>
      </c>
      <c r="G755">
        <f t="shared" si="51"/>
        <v>460391617000</v>
      </c>
      <c r="H755">
        <f t="shared" si="52"/>
        <v>20.121814841819763</v>
      </c>
      <c r="I755">
        <f t="shared" si="54"/>
        <v>8449193583690.5459</v>
      </c>
      <c r="J755" s="6">
        <v>0.12</v>
      </c>
      <c r="K755" s="5">
        <f t="shared" si="53"/>
        <v>0.18051839509606396</v>
      </c>
      <c r="L755" s="7"/>
    </row>
    <row r="756" spans="1:12" x14ac:dyDescent="0.25">
      <c r="A756" t="s">
        <v>21</v>
      </c>
      <c r="B756">
        <v>1989</v>
      </c>
      <c r="C756">
        <v>9604107859000</v>
      </c>
      <c r="D756">
        <v>1721314222999.9988</v>
      </c>
      <c r="E756">
        <v>246819000</v>
      </c>
      <c r="F756" s="4">
        <v>1895</v>
      </c>
      <c r="G756">
        <f t="shared" si="51"/>
        <v>467722005000</v>
      </c>
      <c r="H756">
        <f t="shared" si="52"/>
        <v>20.533795195289134</v>
      </c>
      <c r="I756">
        <f t="shared" si="54"/>
        <v>9156604576647.6797</v>
      </c>
      <c r="J756" s="6">
        <v>0.12</v>
      </c>
      <c r="K756" s="5">
        <f t="shared" si="53"/>
        <v>0.17922687336200174</v>
      </c>
      <c r="L756" s="7"/>
    </row>
    <row r="757" spans="1:12" x14ac:dyDescent="0.25">
      <c r="A757" t="s">
        <v>21</v>
      </c>
      <c r="B757">
        <v>1990</v>
      </c>
      <c r="C757">
        <v>9785238028000</v>
      </c>
      <c r="D757">
        <v>1719509208999.9988</v>
      </c>
      <c r="E757">
        <v>249623000</v>
      </c>
      <c r="F757" s="4">
        <v>1878</v>
      </c>
      <c r="G757">
        <f t="shared" si="51"/>
        <v>468791994000</v>
      </c>
      <c r="H757">
        <f t="shared" si="52"/>
        <v>20.873304478830327</v>
      </c>
      <c r="I757">
        <f t="shared" si="54"/>
        <v>9777321236449.957</v>
      </c>
      <c r="J757" s="6">
        <v>0.12</v>
      </c>
      <c r="K757" s="5">
        <f t="shared" si="53"/>
        <v>0.17572482182648022</v>
      </c>
      <c r="L757" s="7"/>
    </row>
    <row r="758" spans="1:12" x14ac:dyDescent="0.25">
      <c r="A758" t="s">
        <v>21</v>
      </c>
      <c r="B758">
        <v>1991</v>
      </c>
      <c r="C758">
        <v>9774639354000</v>
      </c>
      <c r="D758">
        <v>1648888138999.9988</v>
      </c>
      <c r="E758">
        <v>252981000</v>
      </c>
      <c r="F758" s="4">
        <v>1868</v>
      </c>
      <c r="G758">
        <f t="shared" si="51"/>
        <v>472568508000</v>
      </c>
      <c r="H758">
        <f t="shared" si="52"/>
        <v>20.684068422942818</v>
      </c>
      <c r="I758">
        <f t="shared" si="54"/>
        <v>10252930827075.961</v>
      </c>
      <c r="J758" s="6">
        <v>0.12</v>
      </c>
      <c r="K758" s="5">
        <f t="shared" si="53"/>
        <v>0.16869043238155249</v>
      </c>
      <c r="L758" s="7"/>
    </row>
    <row r="759" spans="1:12" x14ac:dyDescent="0.25">
      <c r="A759" t="s">
        <v>21</v>
      </c>
      <c r="B759">
        <v>1992</v>
      </c>
      <c r="C759">
        <v>10118950750000</v>
      </c>
      <c r="D759">
        <v>1716491987999.9988</v>
      </c>
      <c r="E759">
        <v>256514000</v>
      </c>
      <c r="F759" s="4">
        <v>1867</v>
      </c>
      <c r="G759">
        <f t="shared" si="51"/>
        <v>478911638000</v>
      </c>
      <c r="H759">
        <f t="shared" si="52"/>
        <v>21.129055857272778</v>
      </c>
      <c r="I759">
        <f t="shared" si="54"/>
        <v>10739071115826.844</v>
      </c>
      <c r="J759" s="6">
        <v>0.12</v>
      </c>
      <c r="K759" s="5">
        <f t="shared" si="53"/>
        <v>0.16963142033278489</v>
      </c>
      <c r="L759" s="7"/>
    </row>
    <row r="760" spans="1:12" x14ac:dyDescent="0.25">
      <c r="A760" t="s">
        <v>21</v>
      </c>
      <c r="B760">
        <v>1993</v>
      </c>
      <c r="C760">
        <v>10397403618000</v>
      </c>
      <c r="D760">
        <v>1803948042999.999</v>
      </c>
      <c r="E760">
        <v>259919000</v>
      </c>
      <c r="F760" s="4">
        <v>1875</v>
      </c>
      <c r="G760">
        <f t="shared" si="51"/>
        <v>487348125000</v>
      </c>
      <c r="H760">
        <f t="shared" si="52"/>
        <v>21.334653986818971</v>
      </c>
      <c r="I760">
        <f t="shared" si="54"/>
        <v>11254330624927.621</v>
      </c>
      <c r="J760" s="6">
        <v>0.12</v>
      </c>
      <c r="K760" s="5">
        <f t="shared" si="53"/>
        <v>0.17349985720252328</v>
      </c>
      <c r="L760" s="7"/>
    </row>
    <row r="761" spans="1:12" x14ac:dyDescent="0.25">
      <c r="A761" t="s">
        <v>21</v>
      </c>
      <c r="B761">
        <v>1994</v>
      </c>
      <c r="C761">
        <v>10816317373000</v>
      </c>
      <c r="D761">
        <v>1914075591999.999</v>
      </c>
      <c r="E761">
        <v>263126000</v>
      </c>
      <c r="F761" s="4">
        <v>1887</v>
      </c>
      <c r="G761">
        <f t="shared" si="51"/>
        <v>496518762000</v>
      </c>
      <c r="H761">
        <f t="shared" si="52"/>
        <v>21.784307463893981</v>
      </c>
      <c r="I761">
        <f t="shared" si="54"/>
        <v>11817886541936.305</v>
      </c>
      <c r="J761" s="6">
        <v>0.12</v>
      </c>
      <c r="K761" s="5">
        <f t="shared" si="53"/>
        <v>0.17696185549972573</v>
      </c>
      <c r="L761" s="7"/>
    </row>
    <row r="762" spans="1:12" x14ac:dyDescent="0.25">
      <c r="A762" t="s">
        <v>21</v>
      </c>
      <c r="B762">
        <v>1995</v>
      </c>
      <c r="C762">
        <v>11106673920999.998</v>
      </c>
      <c r="D762">
        <v>2012760550999.999</v>
      </c>
      <c r="E762">
        <v>266278000</v>
      </c>
      <c r="F762" s="4">
        <v>1886</v>
      </c>
      <c r="G762">
        <f t="shared" si="51"/>
        <v>502200308000</v>
      </c>
      <c r="H762">
        <f t="shared" si="52"/>
        <v>22.116023714186966</v>
      </c>
      <c r="I762">
        <f t="shared" si="54"/>
        <v>12412500707903.949</v>
      </c>
      <c r="J762" s="6">
        <v>0.12</v>
      </c>
      <c r="K762" s="5">
        <f t="shared" si="53"/>
        <v>0.18122081960057926</v>
      </c>
      <c r="L762" s="7"/>
    </row>
    <row r="763" spans="1:12" x14ac:dyDescent="0.25">
      <c r="A763" t="s">
        <v>21</v>
      </c>
      <c r="B763">
        <v>1996</v>
      </c>
      <c r="C763">
        <v>11525703480999.998</v>
      </c>
      <c r="D763">
        <v>2166820951999.999</v>
      </c>
      <c r="E763">
        <v>269394000</v>
      </c>
      <c r="F763" s="4">
        <v>1887</v>
      </c>
      <c r="G763">
        <f t="shared" si="51"/>
        <v>508346478000</v>
      </c>
      <c r="H763">
        <f t="shared" si="52"/>
        <v>22.672928759821168</v>
      </c>
      <c r="I763">
        <f t="shared" si="54"/>
        <v>13089821574955.473</v>
      </c>
      <c r="J763" s="6">
        <v>0.12</v>
      </c>
      <c r="K763" s="5">
        <f t="shared" si="53"/>
        <v>0.18799901937196117</v>
      </c>
      <c r="L763" s="7"/>
    </row>
    <row r="764" spans="1:12" x14ac:dyDescent="0.25">
      <c r="A764" t="s">
        <v>21</v>
      </c>
      <c r="B764">
        <v>1997</v>
      </c>
      <c r="C764">
        <v>12038266260999.998</v>
      </c>
      <c r="D764">
        <v>2322423443999.999</v>
      </c>
      <c r="E764">
        <v>272657000</v>
      </c>
      <c r="F764" s="4">
        <v>1893</v>
      </c>
      <c r="G764">
        <f t="shared" si="51"/>
        <v>516139701000</v>
      </c>
      <c r="H764">
        <f t="shared" si="52"/>
        <v>23.323658764625815</v>
      </c>
      <c r="I764">
        <f t="shared" si="54"/>
        <v>13841466429960.816</v>
      </c>
      <c r="J764" s="6">
        <v>0.12</v>
      </c>
      <c r="K764" s="5">
        <f t="shared" si="53"/>
        <v>0.19292009278145666</v>
      </c>
      <c r="L764" s="7"/>
    </row>
    <row r="765" spans="1:12" x14ac:dyDescent="0.25">
      <c r="A765" t="s">
        <v>21</v>
      </c>
      <c r="B765">
        <v>1998</v>
      </c>
      <c r="C765">
        <v>12577957789999.998</v>
      </c>
      <c r="D765">
        <v>2538263986999.999</v>
      </c>
      <c r="E765">
        <v>275854000</v>
      </c>
      <c r="F765" s="4">
        <v>1892</v>
      </c>
      <c r="G765">
        <f t="shared" si="51"/>
        <v>521915768000</v>
      </c>
      <c r="H765">
        <f t="shared" si="52"/>
        <v>24.099593384961686</v>
      </c>
      <c r="I765">
        <f t="shared" si="54"/>
        <v>14718754445365.52</v>
      </c>
      <c r="J765" s="6">
        <v>0.12</v>
      </c>
      <c r="K765" s="5">
        <f t="shared" si="53"/>
        <v>0.20180255247938778</v>
      </c>
      <c r="L765" s="7"/>
    </row>
    <row r="766" spans="1:12" x14ac:dyDescent="0.25">
      <c r="A766" t="s">
        <v>21</v>
      </c>
      <c r="B766">
        <v>1999</v>
      </c>
      <c r="C766">
        <v>13180243871999.998</v>
      </c>
      <c r="D766">
        <v>2749560973999.999</v>
      </c>
      <c r="E766">
        <v>279040000</v>
      </c>
      <c r="F766" s="4">
        <v>1888</v>
      </c>
      <c r="G766">
        <f t="shared" si="51"/>
        <v>526827520000</v>
      </c>
      <c r="H766">
        <f t="shared" si="52"/>
        <v>25.018138520933753</v>
      </c>
      <c r="I766">
        <f t="shared" si="54"/>
        <v>15702064885921.656</v>
      </c>
      <c r="J766" s="6">
        <v>0.12</v>
      </c>
      <c r="K766" s="5">
        <f t="shared" si="53"/>
        <v>0.20861229888478344</v>
      </c>
      <c r="L766" s="7"/>
    </row>
    <row r="767" spans="1:12" x14ac:dyDescent="0.25">
      <c r="A767" t="s">
        <v>21</v>
      </c>
      <c r="B767">
        <v>2000</v>
      </c>
      <c r="C767">
        <v>13717679618999.996</v>
      </c>
      <c r="D767">
        <v>2925464708999.999</v>
      </c>
      <c r="E767">
        <v>282162411</v>
      </c>
      <c r="F767" s="4">
        <v>1880</v>
      </c>
      <c r="G767">
        <f t="shared" si="51"/>
        <v>530465332680</v>
      </c>
      <c r="H767">
        <f t="shared" si="52"/>
        <v>25.859709907329805</v>
      </c>
      <c r="I767">
        <f t="shared" si="54"/>
        <v>16743281808611.059</v>
      </c>
      <c r="J767" s="6">
        <v>0.12</v>
      </c>
      <c r="K767" s="5">
        <f t="shared" si="53"/>
        <v>0.21326235852221065</v>
      </c>
      <c r="L767" s="7"/>
    </row>
    <row r="768" spans="1:12" x14ac:dyDescent="0.25">
      <c r="A768" t="s">
        <v>21</v>
      </c>
      <c r="B768">
        <v>2001</v>
      </c>
      <c r="C768">
        <v>13848757307999.998</v>
      </c>
      <c r="D768">
        <v>2913086622999.999</v>
      </c>
      <c r="E768">
        <v>284968955</v>
      </c>
      <c r="F768" s="4">
        <v>1860</v>
      </c>
      <c r="G768">
        <f t="shared" si="51"/>
        <v>530042256300</v>
      </c>
      <c r="H768">
        <f t="shared" si="52"/>
        <v>26.127647642043286</v>
      </c>
      <c r="I768">
        <f t="shared" si="54"/>
        <v>17647174614577.73</v>
      </c>
      <c r="J768" s="6">
        <v>0.12</v>
      </c>
      <c r="K768" s="5">
        <f t="shared" si="53"/>
        <v>0.21035003778405439</v>
      </c>
      <c r="L768" s="7"/>
    </row>
    <row r="769" spans="1:12" x14ac:dyDescent="0.25">
      <c r="A769" t="s">
        <v>21</v>
      </c>
      <c r="B769">
        <v>2002</v>
      </c>
      <c r="C769">
        <v>14084248130999.998</v>
      </c>
      <c r="D769">
        <v>2863689490999.999</v>
      </c>
      <c r="E769">
        <v>287625193</v>
      </c>
      <c r="F769" s="4">
        <v>1853</v>
      </c>
      <c r="G769">
        <f t="shared" si="51"/>
        <v>532969482629</v>
      </c>
      <c r="H769">
        <f t="shared" si="52"/>
        <v>26.42599358883751</v>
      </c>
      <c r="I769">
        <f t="shared" si="54"/>
        <v>18393203151828.402</v>
      </c>
      <c r="J769" s="6">
        <v>0.12</v>
      </c>
      <c r="K769" s="5">
        <f t="shared" si="53"/>
        <v>0.20332569153598642</v>
      </c>
      <c r="L769" s="7"/>
    </row>
    <row r="770" spans="1:12" x14ac:dyDescent="0.25">
      <c r="A770" t="s">
        <v>21</v>
      </c>
      <c r="B770">
        <v>2003</v>
      </c>
      <c r="C770">
        <v>14477988211999.998</v>
      </c>
      <c r="D770">
        <v>2985022309999.999</v>
      </c>
      <c r="E770">
        <v>290107933</v>
      </c>
      <c r="F770" s="4">
        <v>1843</v>
      </c>
      <c r="G770">
        <f t="shared" si="51"/>
        <v>534668920519</v>
      </c>
      <c r="H770">
        <f t="shared" si="52"/>
        <v>27.078417421282499</v>
      </c>
      <c r="I770">
        <f t="shared" si="54"/>
        <v>19171041083608.992</v>
      </c>
      <c r="J770" s="6">
        <v>0.12</v>
      </c>
      <c r="K770" s="5">
        <f t="shared" si="53"/>
        <v>0.20617659486183862</v>
      </c>
      <c r="L770" s="7"/>
    </row>
    <row r="771" spans="1:12" x14ac:dyDescent="0.25">
      <c r="A771" t="s">
        <v>21</v>
      </c>
      <c r="B771">
        <v>2004</v>
      </c>
      <c r="C771">
        <v>15035068143999.998</v>
      </c>
      <c r="D771">
        <v>3163909784999.999</v>
      </c>
      <c r="E771">
        <v>292805298</v>
      </c>
      <c r="F771" s="4">
        <v>1845</v>
      </c>
      <c r="G771">
        <f t="shared" ref="G771:G789" si="55">E771*F771</f>
        <v>540225774810</v>
      </c>
      <c r="H771">
        <f t="shared" ref="H771:H789" si="56">C771/G771</f>
        <v>27.831082567816953</v>
      </c>
      <c r="I771">
        <f t="shared" si="54"/>
        <v>20034425938575.914</v>
      </c>
      <c r="J771" s="6">
        <v>0.12</v>
      </c>
      <c r="K771" s="5">
        <f t="shared" ref="K771:K789" si="57">D771/C771</f>
        <v>0.21043534719612239</v>
      </c>
      <c r="L771" s="7"/>
    </row>
    <row r="772" spans="1:12" x14ac:dyDescent="0.25">
      <c r="A772" t="s">
        <v>21</v>
      </c>
      <c r="B772">
        <v>2005</v>
      </c>
      <c r="C772">
        <v>15558822250999.998</v>
      </c>
      <c r="D772">
        <v>3355622413999.999</v>
      </c>
      <c r="E772">
        <v>295516599</v>
      </c>
      <c r="F772" s="4">
        <v>1842</v>
      </c>
      <c r="G772">
        <f t="shared" si="55"/>
        <v>544341575358</v>
      </c>
      <c r="H772">
        <f t="shared" si="56"/>
        <v>28.582829156063166</v>
      </c>
      <c r="I772">
        <f t="shared" si="54"/>
        <v>20985917239946.805</v>
      </c>
      <c r="J772" s="6">
        <v>0.12</v>
      </c>
      <c r="K772" s="5">
        <f t="shared" si="57"/>
        <v>0.21567329196683419</v>
      </c>
      <c r="L772" s="7"/>
    </row>
    <row r="773" spans="1:12" x14ac:dyDescent="0.25">
      <c r="A773" t="s">
        <v>21</v>
      </c>
      <c r="B773">
        <v>2006</v>
      </c>
      <c r="C773">
        <v>15992063823999.998</v>
      </c>
      <c r="D773">
        <v>3445363047999.9995</v>
      </c>
      <c r="E773">
        <v>298379912</v>
      </c>
      <c r="F773" s="4">
        <v>1846</v>
      </c>
      <c r="G773">
        <f t="shared" si="55"/>
        <v>550809317552</v>
      </c>
      <c r="H773">
        <f t="shared" si="56"/>
        <v>29.033756899891664</v>
      </c>
      <c r="I773">
        <f t="shared" si="54"/>
        <v>21912970219153.188</v>
      </c>
      <c r="J773" s="6">
        <v>0.12</v>
      </c>
      <c r="K773" s="5">
        <f t="shared" si="57"/>
        <v>0.21544205212771791</v>
      </c>
      <c r="L773" s="7"/>
    </row>
    <row r="774" spans="1:12" x14ac:dyDescent="0.25">
      <c r="A774" t="s">
        <v>21</v>
      </c>
      <c r="B774">
        <v>2007</v>
      </c>
      <c r="C774">
        <v>16312522121999.998</v>
      </c>
      <c r="D774">
        <v>3425417292999.9995</v>
      </c>
      <c r="E774">
        <v>301231207</v>
      </c>
      <c r="F774" s="4">
        <v>1842</v>
      </c>
      <c r="G774">
        <f t="shared" si="55"/>
        <v>554867883294</v>
      </c>
      <c r="H774">
        <f t="shared" si="56"/>
        <v>29.398930111362585</v>
      </c>
      <c r="I774">
        <f t="shared" si="54"/>
        <v>22708831085854.805</v>
      </c>
      <c r="J774" s="6">
        <v>0.12</v>
      </c>
      <c r="K774" s="5">
        <f t="shared" si="57"/>
        <v>0.2099869822325198</v>
      </c>
      <c r="L774" s="7"/>
    </row>
    <row r="775" spans="1:12" x14ac:dyDescent="0.25">
      <c r="A775" t="s">
        <v>21</v>
      </c>
      <c r="B775">
        <v>2008</v>
      </c>
      <c r="C775">
        <v>16331051066999.998</v>
      </c>
      <c r="D775">
        <v>3281354879999.9995</v>
      </c>
      <c r="E775">
        <v>304093966</v>
      </c>
      <c r="F775" s="4">
        <v>1829</v>
      </c>
      <c r="G775">
        <f t="shared" si="55"/>
        <v>556187863814</v>
      </c>
      <c r="H775">
        <f t="shared" si="56"/>
        <v>29.36247287923819</v>
      </c>
      <c r="I775">
        <f t="shared" si="54"/>
        <v>23265126235552.227</v>
      </c>
      <c r="J775" s="6">
        <v>0.12</v>
      </c>
      <c r="K775" s="5">
        <f t="shared" si="57"/>
        <v>0.20092735406544668</v>
      </c>
      <c r="L775" s="7"/>
    </row>
    <row r="776" spans="1:12" x14ac:dyDescent="0.25">
      <c r="A776" t="s">
        <v>21</v>
      </c>
      <c r="B776">
        <v>2009</v>
      </c>
      <c r="C776">
        <v>15910281497999.998</v>
      </c>
      <c r="D776">
        <v>2870462480999.9995</v>
      </c>
      <c r="E776">
        <v>306771529</v>
      </c>
      <c r="F776" s="4">
        <v>1799</v>
      </c>
      <c r="G776">
        <f t="shared" si="55"/>
        <v>551881980671</v>
      </c>
      <c r="H776">
        <f t="shared" si="56"/>
        <v>28.829137488155794</v>
      </c>
      <c r="I776">
        <f t="shared" si="54"/>
        <v>23343773568285.961</v>
      </c>
      <c r="J776" s="6">
        <v>0.12</v>
      </c>
      <c r="K776" s="5">
        <f t="shared" si="57"/>
        <v>0.18041556847129517</v>
      </c>
      <c r="L776" s="7"/>
    </row>
    <row r="777" spans="1:12" x14ac:dyDescent="0.25">
      <c r="A777" t="s">
        <v>21</v>
      </c>
      <c r="B777">
        <v>2010</v>
      </c>
      <c r="C777">
        <v>16339094224999.998</v>
      </c>
      <c r="D777">
        <v>2935253933999.999</v>
      </c>
      <c r="E777">
        <v>309327143</v>
      </c>
      <c r="F777" s="4">
        <v>1810</v>
      </c>
      <c r="G777">
        <f t="shared" si="55"/>
        <v>559882128830</v>
      </c>
      <c r="H777">
        <f t="shared" si="56"/>
        <v>29.183096554884187</v>
      </c>
      <c r="I777">
        <f t="shared" si="54"/>
        <v>23477774674091.645</v>
      </c>
      <c r="J777" s="6">
        <v>0.12</v>
      </c>
      <c r="K777" s="5">
        <f t="shared" si="57"/>
        <v>0.17964606198970612</v>
      </c>
      <c r="L777" s="7"/>
    </row>
    <row r="778" spans="1:12" x14ac:dyDescent="0.25">
      <c r="A778" t="s">
        <v>21</v>
      </c>
      <c r="B778">
        <v>2011</v>
      </c>
      <c r="C778">
        <v>16594704134999.998</v>
      </c>
      <c r="D778">
        <v>3071066258999.999</v>
      </c>
      <c r="E778">
        <v>311583481</v>
      </c>
      <c r="F778" s="4">
        <v>1819</v>
      </c>
      <c r="G778">
        <f t="shared" si="55"/>
        <v>566770351939</v>
      </c>
      <c r="H778">
        <f t="shared" si="56"/>
        <v>29.279414631035678</v>
      </c>
      <c r="I778">
        <f t="shared" si="54"/>
        <v>23731507972200.648</v>
      </c>
      <c r="J778" s="6">
        <v>0.12</v>
      </c>
      <c r="K778" s="5">
        <f t="shared" si="57"/>
        <v>0.18506303179716191</v>
      </c>
      <c r="L778" s="7"/>
    </row>
    <row r="779" spans="1:12" x14ac:dyDescent="0.25">
      <c r="A779" t="s">
        <v>21</v>
      </c>
      <c r="B779">
        <v>2012</v>
      </c>
      <c r="C779">
        <v>16974575728999.998</v>
      </c>
      <c r="D779">
        <v>3283305634999.9995</v>
      </c>
      <c r="E779">
        <v>313877662</v>
      </c>
      <c r="F779" s="4">
        <v>1826</v>
      </c>
      <c r="G779">
        <f t="shared" si="55"/>
        <v>573140610812</v>
      </c>
      <c r="H779">
        <f t="shared" si="56"/>
        <v>29.616773630734659</v>
      </c>
      <c r="I779">
        <f t="shared" si="54"/>
        <v>24167032650536.57</v>
      </c>
      <c r="J779" s="6">
        <v>0.12</v>
      </c>
      <c r="K779" s="5">
        <f t="shared" si="57"/>
        <v>0.19342490130051837</v>
      </c>
      <c r="L779" s="7"/>
    </row>
    <row r="780" spans="1:12" x14ac:dyDescent="0.25">
      <c r="A780" t="s">
        <v>21</v>
      </c>
      <c r="B780">
        <v>2013</v>
      </c>
      <c r="C780">
        <v>17334068403000</v>
      </c>
      <c r="D780">
        <v>3417211518000</v>
      </c>
      <c r="E780">
        <v>316059947</v>
      </c>
      <c r="F780" s="4">
        <v>1824</v>
      </c>
      <c r="G780">
        <f t="shared" si="55"/>
        <v>576493343328</v>
      </c>
      <c r="H780">
        <f t="shared" si="56"/>
        <v>30.068115449405386</v>
      </c>
      <c r="I780">
        <f t="shared" si="54"/>
        <v>24684200250472.184</v>
      </c>
      <c r="J780" s="6">
        <v>0.12</v>
      </c>
      <c r="K780" s="5">
        <f t="shared" si="57"/>
        <v>0.19713845812495956</v>
      </c>
      <c r="L780" s="7"/>
    </row>
    <row r="781" spans="1:12" x14ac:dyDescent="0.25">
      <c r="A781" t="s">
        <v>21</v>
      </c>
      <c r="B781">
        <v>2014</v>
      </c>
      <c r="C781">
        <v>17771549056000</v>
      </c>
      <c r="D781">
        <v>3618540059000</v>
      </c>
      <c r="E781">
        <v>318386329</v>
      </c>
      <c r="F781" s="4">
        <v>1829</v>
      </c>
      <c r="G781">
        <f t="shared" si="55"/>
        <v>582328595741</v>
      </c>
      <c r="H781">
        <f t="shared" si="56"/>
        <v>30.518077226460267</v>
      </c>
      <c r="I781">
        <f t="shared" si="54"/>
        <v>25340636279415.523</v>
      </c>
      <c r="J781" s="6">
        <v>0.12</v>
      </c>
      <c r="K781" s="5">
        <f t="shared" si="57"/>
        <v>0.20361421773631572</v>
      </c>
      <c r="L781" s="7"/>
    </row>
    <row r="782" spans="1:12" x14ac:dyDescent="0.25">
      <c r="A782" t="s">
        <v>21</v>
      </c>
      <c r="B782">
        <v>2015</v>
      </c>
      <c r="C782">
        <v>18295019000000</v>
      </c>
      <c r="D782">
        <v>3777790000000</v>
      </c>
      <c r="E782">
        <v>320738994</v>
      </c>
      <c r="F782" s="4">
        <v>1830</v>
      </c>
      <c r="G782">
        <f t="shared" si="55"/>
        <v>586952359020</v>
      </c>
      <c r="H782">
        <f t="shared" si="56"/>
        <v>31.169512685060372</v>
      </c>
      <c r="I782">
        <f t="shared" si="54"/>
        <v>26077549925885.66</v>
      </c>
      <c r="J782" s="6">
        <v>0.12</v>
      </c>
      <c r="K782" s="5">
        <f t="shared" si="57"/>
        <v>0.20649281643271319</v>
      </c>
      <c r="L782" s="7"/>
    </row>
    <row r="783" spans="1:12" x14ac:dyDescent="0.25">
      <c r="A783" t="s">
        <v>21</v>
      </c>
      <c r="B783">
        <v>2016</v>
      </c>
      <c r="C783">
        <v>18627887993000</v>
      </c>
      <c r="D783">
        <v>3792096083462.4102</v>
      </c>
      <c r="E783">
        <v>323071755</v>
      </c>
      <c r="F783" s="4">
        <v>1822</v>
      </c>
      <c r="G783">
        <f t="shared" si="55"/>
        <v>588636737610</v>
      </c>
      <c r="H783">
        <f t="shared" si="56"/>
        <v>31.645812778579693</v>
      </c>
      <c r="I783">
        <f t="shared" si="54"/>
        <v>26740340018241.793</v>
      </c>
      <c r="J783" s="6">
        <v>0.12</v>
      </c>
      <c r="K783" s="5">
        <f t="shared" si="57"/>
        <v>0.2035709085693132</v>
      </c>
      <c r="L783" s="7"/>
    </row>
    <row r="784" spans="1:12" x14ac:dyDescent="0.25">
      <c r="A784" t="s">
        <v>21</v>
      </c>
      <c r="B784">
        <v>2017</v>
      </c>
      <c r="C784">
        <v>19085691122935.199</v>
      </c>
      <c r="D784">
        <v>3952143427600.1104</v>
      </c>
      <c r="E784">
        <v>325122128</v>
      </c>
      <c r="F784" s="4">
        <v>1820</v>
      </c>
      <c r="G784">
        <f t="shared" si="55"/>
        <v>591722272960</v>
      </c>
      <c r="H784">
        <f t="shared" si="56"/>
        <v>32.254474768140724</v>
      </c>
      <c r="I784">
        <f t="shared" si="54"/>
        <v>27483642643652.887</v>
      </c>
      <c r="J784" s="6">
        <v>0.12</v>
      </c>
      <c r="K784" s="5">
        <f t="shared" si="57"/>
        <v>0.2070736344910683</v>
      </c>
      <c r="L784" s="7"/>
    </row>
    <row r="785" spans="1:12" x14ac:dyDescent="0.25">
      <c r="A785" t="s">
        <v>21</v>
      </c>
      <c r="B785">
        <v>2018</v>
      </c>
      <c r="C785">
        <v>19651869117582.5</v>
      </c>
      <c r="D785">
        <v>4171824059917.0605</v>
      </c>
      <c r="E785">
        <v>326838199</v>
      </c>
      <c r="F785" s="4">
        <v>1826</v>
      </c>
      <c r="G785">
        <f t="shared" si="55"/>
        <v>596806551374</v>
      </c>
      <c r="H785">
        <f t="shared" si="56"/>
        <v>32.928373645260621</v>
      </c>
      <c r="I785">
        <f t="shared" si="54"/>
        <v>28357429586331.602</v>
      </c>
      <c r="J785" s="6">
        <v>0.12</v>
      </c>
      <c r="K785" s="5">
        <f t="shared" si="57"/>
        <v>0.2122863751511827</v>
      </c>
      <c r="L785" s="7"/>
    </row>
    <row r="786" spans="1:12" x14ac:dyDescent="0.25">
      <c r="A786" t="s">
        <v>21</v>
      </c>
      <c r="B786">
        <v>2019</v>
      </c>
      <c r="C786">
        <v>20159639089698.098</v>
      </c>
      <c r="D786">
        <v>4308413389711.0195</v>
      </c>
      <c r="E786">
        <v>328329953</v>
      </c>
      <c r="F786" s="4">
        <v>1817</v>
      </c>
      <c r="G786">
        <f t="shared" si="55"/>
        <v>596575524601</v>
      </c>
      <c r="H786">
        <f t="shared" si="56"/>
        <v>33.792266458100528</v>
      </c>
      <c r="I786">
        <f t="shared" si="54"/>
        <v>29262951425682.828</v>
      </c>
      <c r="J786" s="6">
        <v>0.12</v>
      </c>
      <c r="K786" s="5">
        <f t="shared" si="57"/>
        <v>0.21371480761839079</v>
      </c>
      <c r="L786" s="7"/>
    </row>
    <row r="787" spans="1:12" x14ac:dyDescent="0.25">
      <c r="A787" t="s">
        <v>21</v>
      </c>
      <c r="B787">
        <v>2020</v>
      </c>
      <c r="C787">
        <v>19723580221938.199</v>
      </c>
      <c r="D787">
        <v>4178476545894.9199</v>
      </c>
      <c r="E787">
        <v>331526933</v>
      </c>
      <c r="F787" s="4">
        <v>1789</v>
      </c>
      <c r="G787">
        <f t="shared" si="55"/>
        <v>593101683137</v>
      </c>
      <c r="H787">
        <f t="shared" si="56"/>
        <v>33.25497260034291</v>
      </c>
      <c r="I787">
        <f t="shared" si="54"/>
        <v>29929873800495.813</v>
      </c>
      <c r="J787" s="6">
        <v>0.12</v>
      </c>
      <c r="K787" s="5">
        <f t="shared" si="57"/>
        <v>0.21185182907346975</v>
      </c>
      <c r="L787" s="7"/>
    </row>
    <row r="788" spans="1:12" x14ac:dyDescent="0.25">
      <c r="A788" t="s">
        <v>21</v>
      </c>
      <c r="B788">
        <v>2021</v>
      </c>
      <c r="C788">
        <v>20917853444668.301</v>
      </c>
      <c r="D788">
        <v>4459693626039.4199</v>
      </c>
      <c r="E788">
        <v>332048977</v>
      </c>
      <c r="F788" s="4">
        <v>1813</v>
      </c>
      <c r="G788">
        <f t="shared" si="55"/>
        <v>602004795301</v>
      </c>
      <c r="H788">
        <f t="shared" si="56"/>
        <v>34.746988077079116</v>
      </c>
      <c r="I788">
        <f t="shared" si="54"/>
        <v>30797982570475.734</v>
      </c>
      <c r="J788" s="6">
        <v>0.12</v>
      </c>
      <c r="K788" s="5">
        <f t="shared" si="57"/>
        <v>0.21320034762821899</v>
      </c>
      <c r="L788" s="7"/>
    </row>
    <row r="789" spans="1:12" x14ac:dyDescent="0.25">
      <c r="A789" t="s">
        <v>21</v>
      </c>
      <c r="B789">
        <v>2022</v>
      </c>
      <c r="C789">
        <v>21443388432051</v>
      </c>
      <c r="D789">
        <v>4675491736471.2305</v>
      </c>
      <c r="E789">
        <v>333271411</v>
      </c>
      <c r="F789" s="4">
        <v>1804</v>
      </c>
      <c r="G789">
        <f t="shared" si="55"/>
        <v>601221625444</v>
      </c>
      <c r="H789">
        <f t="shared" si="56"/>
        <v>35.666362493556576</v>
      </c>
      <c r="I789">
        <f t="shared" si="54"/>
        <v>31777716398489.879</v>
      </c>
      <c r="J789" s="6">
        <v>0.12</v>
      </c>
      <c r="K789" s="5">
        <f t="shared" si="57"/>
        <v>0.21803884919059094</v>
      </c>
      <c r="L789" s="7"/>
    </row>
    <row r="790" spans="1:12" x14ac:dyDescent="0.25">
      <c r="H790" s="1"/>
    </row>
    <row r="791" spans="1:12" x14ac:dyDescent="0.25">
      <c r="H791" s="1"/>
    </row>
    <row r="792" spans="1:12" x14ac:dyDescent="0.25">
      <c r="H792" s="1"/>
    </row>
    <row r="793" spans="1:12" x14ac:dyDescent="0.25">
      <c r="H793" s="1"/>
    </row>
    <row r="794" spans="1:12" x14ac:dyDescent="0.25">
      <c r="H794" s="1"/>
    </row>
    <row r="795" spans="1:12" x14ac:dyDescent="0.25">
      <c r="H795" s="1"/>
    </row>
    <row r="796" spans="1:12" x14ac:dyDescent="0.25">
      <c r="H796" s="1"/>
    </row>
    <row r="797" spans="1:12" x14ac:dyDescent="0.25">
      <c r="H797" s="1"/>
    </row>
    <row r="798" spans="1:12" x14ac:dyDescent="0.25">
      <c r="H798" s="1"/>
    </row>
    <row r="799" spans="1:12" x14ac:dyDescent="0.25">
      <c r="H799" s="1"/>
    </row>
    <row r="800" spans="1:12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97C-5142-4034-929A-1AAC06DC5857}">
  <dimension ref="A1:P44"/>
  <sheetViews>
    <sheetView zoomScaleNormal="100" workbookViewId="0">
      <selection activeCell="O1" sqref="O1:P44"/>
    </sheetView>
  </sheetViews>
  <sheetFormatPr defaultRowHeight="15" x14ac:dyDescent="0.25"/>
  <cols>
    <col min="8" max="9" width="12" bestFit="1" customWidth="1"/>
  </cols>
  <sheetData>
    <row r="1" spans="1:16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31</v>
      </c>
      <c r="F1" s="1" t="s">
        <v>25</v>
      </c>
      <c r="G1" s="1" t="s">
        <v>32</v>
      </c>
      <c r="H1" s="1" t="s">
        <v>33</v>
      </c>
      <c r="I1" s="1" t="s">
        <v>34</v>
      </c>
      <c r="J1" s="1" t="s">
        <v>36</v>
      </c>
      <c r="K1" s="1" t="s">
        <v>39</v>
      </c>
      <c r="L1" s="1" t="s">
        <v>38</v>
      </c>
      <c r="N1" s="1" t="s">
        <v>40</v>
      </c>
      <c r="O1" s="1" t="s">
        <v>41</v>
      </c>
      <c r="P1" s="1" t="s">
        <v>36</v>
      </c>
    </row>
    <row r="2" spans="1:16" x14ac:dyDescent="0.25">
      <c r="A2" t="s">
        <v>21</v>
      </c>
      <c r="B2">
        <v>1980</v>
      </c>
      <c r="C2">
        <v>7062521475999.999</v>
      </c>
      <c r="D2">
        <v>1218057861999.9995</v>
      </c>
      <c r="E2" s="5">
        <f>D2/C2</f>
        <v>0.17246784539193658</v>
      </c>
      <c r="F2">
        <v>227225000</v>
      </c>
      <c r="G2">
        <f>C2/((H2^(1/3))*(F2^(2/3)))</f>
        <v>1775.9595380355822</v>
      </c>
      <c r="H2">
        <f>D2</f>
        <v>1218057861999.9995</v>
      </c>
      <c r="I2">
        <f>15%*H2</f>
        <v>182708679299.99991</v>
      </c>
      <c r="J2">
        <v>5786777000000</v>
      </c>
      <c r="K2">
        <v>5786777000000</v>
      </c>
      <c r="L2">
        <v>988563100000</v>
      </c>
      <c r="M2">
        <v>988563100000</v>
      </c>
      <c r="N2">
        <v>818213900000</v>
      </c>
      <c r="O2">
        <f>C2/F2</f>
        <v>31081.621634943334</v>
      </c>
      <c r="P2">
        <v>4614.4110000000001</v>
      </c>
    </row>
    <row r="3" spans="1:16" x14ac:dyDescent="0.25">
      <c r="A3" t="s">
        <v>21</v>
      </c>
      <c r="B3">
        <v>1981</v>
      </c>
      <c r="C3">
        <v>7241747172999.999</v>
      </c>
      <c r="D3">
        <v>1241295577999.9993</v>
      </c>
      <c r="E3" s="5">
        <f t="shared" ref="E3:E44" si="0">D3/C3</f>
        <v>0.17140830083491779</v>
      </c>
      <c r="F3">
        <v>229466000</v>
      </c>
      <c r="G3">
        <f t="shared" ref="G3:G44" si="1">C3/((H3^(1/3))*(F3^(2/3)))</f>
        <v>1468.6986813714948</v>
      </c>
      <c r="H3">
        <f>H2-I2+D3</f>
        <v>2276644760699.999</v>
      </c>
      <c r="I3">
        <f>15%*H3</f>
        <v>341496714104.99982</v>
      </c>
      <c r="J3">
        <v>5881635000000</v>
      </c>
      <c r="K3">
        <v>5881635000000</v>
      </c>
      <c r="L3">
        <v>1847594500000</v>
      </c>
      <c r="M3">
        <v>1847594500000</v>
      </c>
      <c r="N3">
        <v>1553823200000</v>
      </c>
      <c r="O3">
        <f t="shared" ref="O3:O44" si="2">C3/F3</f>
        <v>31559.129339422831</v>
      </c>
      <c r="P3">
        <v>8695.6090000000004</v>
      </c>
    </row>
    <row r="4" spans="1:16" x14ac:dyDescent="0.25">
      <c r="A4" t="s">
        <v>21</v>
      </c>
      <c r="B4">
        <v>1982</v>
      </c>
      <c r="C4">
        <v>7111177472999.999</v>
      </c>
      <c r="D4">
        <v>1179656251999.9993</v>
      </c>
      <c r="E4" s="5">
        <f t="shared" si="0"/>
        <v>0.16588761235097352</v>
      </c>
      <c r="F4">
        <v>231664000</v>
      </c>
      <c r="G4">
        <f t="shared" si="1"/>
        <v>1290.8988932255793</v>
      </c>
      <c r="H4">
        <f t="shared" ref="H4:H44" si="3">H3-I3+D4</f>
        <v>3114804298594.9985</v>
      </c>
      <c r="I4">
        <f t="shared" ref="I4:I44" si="4">15%*H4</f>
        <v>467220644789.24976</v>
      </c>
      <c r="J4">
        <v>5597102600000</v>
      </c>
      <c r="K4">
        <v>5597102600000</v>
      </c>
      <c r="L4">
        <v>2527756600000</v>
      </c>
      <c r="M4">
        <v>2527756600000</v>
      </c>
      <c r="N4">
        <v>2159752500000</v>
      </c>
      <c r="O4">
        <f t="shared" si="2"/>
        <v>30696.083435492779</v>
      </c>
      <c r="P4">
        <v>11967.456</v>
      </c>
    </row>
    <row r="5" spans="1:16" x14ac:dyDescent="0.25">
      <c r="A5" t="s">
        <v>21</v>
      </c>
      <c r="B5">
        <v>1983</v>
      </c>
      <c r="C5">
        <v>7437138984999.999</v>
      </c>
      <c r="D5">
        <v>1265291536999.999</v>
      </c>
      <c r="E5" s="5">
        <f t="shared" si="0"/>
        <v>0.17013149001947814</v>
      </c>
      <c r="F5">
        <v>233792000</v>
      </c>
      <c r="G5">
        <f t="shared" si="1"/>
        <v>1243.61934307667</v>
      </c>
      <c r="H5">
        <f t="shared" si="3"/>
        <v>3912875190805.748</v>
      </c>
      <c r="I5">
        <f t="shared" si="4"/>
        <v>586931278620.86218</v>
      </c>
      <c r="J5">
        <v>6023927600000</v>
      </c>
      <c r="K5">
        <v>6023927600000</v>
      </c>
      <c r="L5">
        <v>3175394300000</v>
      </c>
      <c r="M5">
        <v>3175394300000</v>
      </c>
      <c r="N5">
        <v>2750494300000</v>
      </c>
      <c r="O5">
        <f t="shared" si="2"/>
        <v>31810.921609807003</v>
      </c>
      <c r="P5">
        <v>15067.101000000001</v>
      </c>
    </row>
    <row r="6" spans="1:16" x14ac:dyDescent="0.25">
      <c r="A6" t="s">
        <v>21</v>
      </c>
      <c r="B6">
        <v>1984</v>
      </c>
      <c r="C6">
        <v>7975324063999.999</v>
      </c>
      <c r="D6">
        <v>1455201120999.9988</v>
      </c>
      <c r="E6" s="5">
        <f t="shared" si="0"/>
        <v>0.18246294562106447</v>
      </c>
      <c r="F6">
        <v>235825000</v>
      </c>
      <c r="G6">
        <f t="shared" si="1"/>
        <v>1240.2554311882602</v>
      </c>
      <c r="H6">
        <f>H5-I5+D6</f>
        <v>4781145033184.8848</v>
      </c>
      <c r="I6">
        <f t="shared" si="4"/>
        <v>717171754977.73267</v>
      </c>
      <c r="J6">
        <v>6924992000000</v>
      </c>
      <c r="K6">
        <v>6924992000000</v>
      </c>
      <c r="L6">
        <v>3879990200000</v>
      </c>
      <c r="M6">
        <v>3879990200000</v>
      </c>
      <c r="N6">
        <v>3397914500000</v>
      </c>
      <c r="O6">
        <f t="shared" si="2"/>
        <v>33818.823551362235</v>
      </c>
      <c r="P6">
        <v>18511.151999999998</v>
      </c>
    </row>
    <row r="7" spans="1:16" x14ac:dyDescent="0.25">
      <c r="A7" t="s">
        <v>21</v>
      </c>
      <c r="B7">
        <v>1985</v>
      </c>
      <c r="C7">
        <v>8307861209999.999</v>
      </c>
      <c r="D7">
        <v>1557132741999.9988</v>
      </c>
      <c r="E7" s="5">
        <f t="shared" si="0"/>
        <v>0.18742883428597851</v>
      </c>
      <c r="F7">
        <v>237924000</v>
      </c>
      <c r="G7">
        <f>C7/((H7^(1/3))*(F7^(2/3)))</f>
        <v>1216.9044297625785</v>
      </c>
      <c r="H7">
        <f t="shared" si="3"/>
        <v>5621106020207.1514</v>
      </c>
      <c r="I7">
        <f t="shared" si="4"/>
        <v>843165903031.07263</v>
      </c>
      <c r="J7">
        <v>7399240400000</v>
      </c>
      <c r="K7">
        <v>7399240400000</v>
      </c>
      <c r="L7">
        <v>4561613000000</v>
      </c>
      <c r="M7">
        <v>4561613000000</v>
      </c>
      <c r="N7">
        <v>4036105600000</v>
      </c>
      <c r="O7">
        <f t="shared" si="2"/>
        <v>34918.130201240725</v>
      </c>
      <c r="P7">
        <v>21782.998</v>
      </c>
    </row>
    <row r="8" spans="1:16" x14ac:dyDescent="0.25">
      <c r="A8" t="s">
        <v>21</v>
      </c>
      <c r="B8">
        <v>1986</v>
      </c>
      <c r="C8">
        <v>8595533785999.999</v>
      </c>
      <c r="D8">
        <v>1606118255999.999</v>
      </c>
      <c r="E8" s="5">
        <f t="shared" si="0"/>
        <v>0.18685497561721751</v>
      </c>
      <c r="F8">
        <v>240133000</v>
      </c>
      <c r="G8">
        <f t="shared" si="1"/>
        <v>1199.3317682271484</v>
      </c>
      <c r="H8">
        <f t="shared" si="3"/>
        <v>6384058373176.0781</v>
      </c>
      <c r="I8">
        <f t="shared" si="4"/>
        <v>957608755976.41174</v>
      </c>
      <c r="J8">
        <v>7636370000000</v>
      </c>
      <c r="K8">
        <v>7636370000000</v>
      </c>
      <c r="L8">
        <v>5180742400000</v>
      </c>
      <c r="M8">
        <v>5180742400000</v>
      </c>
      <c r="N8">
        <v>4630622000000</v>
      </c>
      <c r="O8">
        <f t="shared" si="2"/>
        <v>35794.887774691524</v>
      </c>
      <c r="P8">
        <v>24710.44</v>
      </c>
    </row>
    <row r="9" spans="1:16" x14ac:dyDescent="0.25">
      <c r="A9" t="s">
        <v>21</v>
      </c>
      <c r="B9">
        <v>1987</v>
      </c>
      <c r="C9">
        <v>8892477646000</v>
      </c>
      <c r="D9">
        <v>1634515969999.9988</v>
      </c>
      <c r="E9" s="5">
        <f t="shared" si="0"/>
        <v>0.18380883653221597</v>
      </c>
      <c r="F9">
        <v>242289000</v>
      </c>
      <c r="G9">
        <f t="shared" si="1"/>
        <v>1192.6480035267955</v>
      </c>
      <c r="H9">
        <f t="shared" si="3"/>
        <v>7060965587199.665</v>
      </c>
      <c r="I9">
        <f t="shared" si="4"/>
        <v>1059144838079.9497</v>
      </c>
      <c r="J9">
        <v>7731227400000</v>
      </c>
      <c r="K9">
        <v>7731227400000</v>
      </c>
      <c r="L9">
        <v>5730051000000</v>
      </c>
      <c r="M9">
        <v>5730051000000</v>
      </c>
      <c r="N9">
        <v>5172874000000</v>
      </c>
      <c r="O9">
        <f t="shared" si="2"/>
        <v>36701.945387533073</v>
      </c>
      <c r="P9">
        <v>27379.58</v>
      </c>
    </row>
    <row r="10" spans="1:16" x14ac:dyDescent="0.25">
      <c r="A10" t="s">
        <v>21</v>
      </c>
      <c r="B10">
        <v>1988</v>
      </c>
      <c r="C10">
        <v>9263914872000</v>
      </c>
      <c r="D10">
        <v>1672307044999.9988</v>
      </c>
      <c r="E10" s="5">
        <f t="shared" si="0"/>
        <v>0.18051839509606396</v>
      </c>
      <c r="F10">
        <v>244499000</v>
      </c>
      <c r="G10">
        <f t="shared" si="1"/>
        <v>1201.1580469004241</v>
      </c>
      <c r="H10">
        <f t="shared" si="3"/>
        <v>7674127794119.7139</v>
      </c>
      <c r="I10">
        <f t="shared" si="4"/>
        <v>1151119169117.957</v>
      </c>
      <c r="J10">
        <v>7920933700000</v>
      </c>
      <c r="K10">
        <v>7920933700000</v>
      </c>
      <c r="L10">
        <v>6227628000000</v>
      </c>
      <c r="M10">
        <v>6227628000000</v>
      </c>
      <c r="N10">
        <v>5675433300000</v>
      </c>
      <c r="O10">
        <f t="shared" si="2"/>
        <v>37889.377347146612</v>
      </c>
      <c r="P10">
        <v>29790.412</v>
      </c>
    </row>
    <row r="11" spans="1:16" x14ac:dyDescent="0.25">
      <c r="A11" t="s">
        <v>21</v>
      </c>
      <c r="B11">
        <v>1989</v>
      </c>
      <c r="C11">
        <v>9604107859000</v>
      </c>
      <c r="D11">
        <v>1721314222999.9988</v>
      </c>
      <c r="E11" s="5">
        <f t="shared" si="0"/>
        <v>0.17922687336200174</v>
      </c>
      <c r="F11">
        <v>246819000</v>
      </c>
      <c r="G11">
        <f t="shared" si="1"/>
        <v>1208.2393423732917</v>
      </c>
      <c r="H11">
        <f t="shared" si="3"/>
        <v>8244322848001.7559</v>
      </c>
      <c r="I11">
        <f t="shared" si="4"/>
        <v>1236648427200.2634</v>
      </c>
      <c r="J11">
        <v>8158065000000</v>
      </c>
      <c r="K11">
        <v>8158065000000</v>
      </c>
      <c r="L11">
        <v>6690334300000</v>
      </c>
      <c r="M11">
        <v>6690334300000</v>
      </c>
      <c r="N11">
        <v>6150607000000</v>
      </c>
      <c r="O11">
        <f t="shared" si="2"/>
        <v>38911.541895072907</v>
      </c>
      <c r="P11">
        <v>31942.945</v>
      </c>
    </row>
    <row r="12" spans="1:16" x14ac:dyDescent="0.25">
      <c r="A12" t="s">
        <v>21</v>
      </c>
      <c r="B12">
        <v>1990</v>
      </c>
      <c r="C12">
        <v>9785238028000</v>
      </c>
      <c r="D12">
        <v>1719509208999.9988</v>
      </c>
      <c r="E12" s="5">
        <f t="shared" si="0"/>
        <v>0.17572482182648022</v>
      </c>
      <c r="F12">
        <v>249623000</v>
      </c>
      <c r="G12">
        <f t="shared" si="1"/>
        <v>1198.8282199914916</v>
      </c>
      <c r="H12">
        <f t="shared" si="3"/>
        <v>8727183629801.4912</v>
      </c>
      <c r="I12">
        <f t="shared" si="4"/>
        <v>1309077544470.2236</v>
      </c>
      <c r="J12">
        <v>8158077500000</v>
      </c>
      <c r="K12">
        <v>8158077500000</v>
      </c>
      <c r="L12">
        <v>7082173500000</v>
      </c>
      <c r="M12">
        <v>7082173500000</v>
      </c>
      <c r="N12">
        <v>6567551000000</v>
      </c>
      <c r="O12">
        <f t="shared" si="2"/>
        <v>39200.065811243352</v>
      </c>
      <c r="P12">
        <v>33751.07</v>
      </c>
    </row>
    <row r="13" spans="1:16" x14ac:dyDescent="0.25">
      <c r="A13" t="s">
        <v>21</v>
      </c>
      <c r="B13">
        <v>1991</v>
      </c>
      <c r="C13">
        <v>9774639354000</v>
      </c>
      <c r="D13">
        <v>1648888138999.9988</v>
      </c>
      <c r="E13" s="5">
        <f t="shared" si="0"/>
        <v>0.16869043238155249</v>
      </c>
      <c r="F13">
        <v>252981000</v>
      </c>
      <c r="G13">
        <f t="shared" si="1"/>
        <v>1171.8922790254098</v>
      </c>
      <c r="H13">
        <f t="shared" si="3"/>
        <v>9066994224331.2656</v>
      </c>
      <c r="I13">
        <f t="shared" si="4"/>
        <v>1360049133649.6897</v>
      </c>
      <c r="J13">
        <v>7826125600000</v>
      </c>
      <c r="K13">
        <v>7826125600000</v>
      </c>
      <c r="L13">
        <v>7357928000000</v>
      </c>
      <c r="M13">
        <v>7357928000000</v>
      </c>
      <c r="N13">
        <v>6887003000000</v>
      </c>
      <c r="O13">
        <f t="shared" si="2"/>
        <v>38637.839814057181</v>
      </c>
      <c r="P13">
        <v>34870.387000000002</v>
      </c>
    </row>
    <row r="14" spans="1:16" x14ac:dyDescent="0.25">
      <c r="A14" t="s">
        <v>21</v>
      </c>
      <c r="B14">
        <v>1992</v>
      </c>
      <c r="C14">
        <v>10118950750000</v>
      </c>
      <c r="D14">
        <v>1716491987999.9988</v>
      </c>
      <c r="E14" s="5">
        <f t="shared" si="0"/>
        <v>0.16963142033278489</v>
      </c>
      <c r="F14">
        <v>256514000</v>
      </c>
      <c r="G14">
        <f t="shared" si="1"/>
        <v>1186.6564071601149</v>
      </c>
      <c r="H14">
        <f t="shared" si="3"/>
        <v>9423437078681.5742</v>
      </c>
      <c r="I14">
        <f t="shared" si="4"/>
        <v>1413515561802.2361</v>
      </c>
      <c r="J14">
        <v>8158110000000</v>
      </c>
      <c r="K14">
        <v>8158110000000</v>
      </c>
      <c r="L14">
        <v>7647186600000</v>
      </c>
      <c r="M14">
        <v>7647186600000</v>
      </c>
      <c r="N14">
        <v>7213588400000</v>
      </c>
      <c r="O14">
        <f t="shared" si="2"/>
        <v>39447.947285528273</v>
      </c>
      <c r="P14">
        <v>36075.800000000003</v>
      </c>
    </row>
    <row r="15" spans="1:16" x14ac:dyDescent="0.25">
      <c r="A15" t="s">
        <v>21</v>
      </c>
      <c r="B15">
        <v>1993</v>
      </c>
      <c r="C15">
        <v>10397403618000</v>
      </c>
      <c r="D15">
        <v>1803948042999.999</v>
      </c>
      <c r="E15" s="5">
        <f t="shared" si="0"/>
        <v>0.17349985720252328</v>
      </c>
      <c r="F15">
        <v>259919000</v>
      </c>
      <c r="G15">
        <f t="shared" si="1"/>
        <v>1192.3931098262317</v>
      </c>
      <c r="H15">
        <f t="shared" si="3"/>
        <v>9813869559879.3359</v>
      </c>
      <c r="I15">
        <f t="shared" si="4"/>
        <v>1472080433981.9004</v>
      </c>
      <c r="J15">
        <v>8537517000000</v>
      </c>
      <c r="K15">
        <v>8537517000000</v>
      </c>
      <c r="L15">
        <v>7964019700000</v>
      </c>
      <c r="M15">
        <v>7964019700000</v>
      </c>
      <c r="N15">
        <v>7559653600000</v>
      </c>
      <c r="O15">
        <f t="shared" si="2"/>
        <v>40002.476225285573</v>
      </c>
      <c r="P15">
        <v>37281.222999999998</v>
      </c>
    </row>
    <row r="16" spans="1:16" x14ac:dyDescent="0.25">
      <c r="A16" t="s">
        <v>21</v>
      </c>
      <c r="B16">
        <v>1994</v>
      </c>
      <c r="C16">
        <v>10816317373000</v>
      </c>
      <c r="D16">
        <v>1914075591999.999</v>
      </c>
      <c r="E16" s="5">
        <f t="shared" si="0"/>
        <v>0.17696185549972573</v>
      </c>
      <c r="F16">
        <v>263126000</v>
      </c>
      <c r="G16">
        <f t="shared" si="1"/>
        <v>1212.4006249414329</v>
      </c>
      <c r="H16">
        <f t="shared" si="3"/>
        <v>10255864717897.434</v>
      </c>
      <c r="I16">
        <f t="shared" si="4"/>
        <v>1538379707684.615</v>
      </c>
      <c r="J16">
        <v>9059195000000</v>
      </c>
      <c r="K16">
        <v>9059195000000</v>
      </c>
      <c r="L16">
        <v>8322725400000</v>
      </c>
      <c r="M16">
        <v>8322725400000</v>
      </c>
      <c r="N16">
        <v>7938230500000</v>
      </c>
      <c r="O16">
        <f t="shared" si="2"/>
        <v>41106.988184367947</v>
      </c>
      <c r="P16">
        <v>38658.839999999997</v>
      </c>
    </row>
    <row r="17" spans="1:16" x14ac:dyDescent="0.25">
      <c r="A17" t="s">
        <v>21</v>
      </c>
      <c r="B17">
        <v>1995</v>
      </c>
      <c r="C17">
        <v>11106673920999.998</v>
      </c>
      <c r="D17">
        <v>2012760550999.999</v>
      </c>
      <c r="E17" s="5">
        <f t="shared" si="0"/>
        <v>0.18122081960057926</v>
      </c>
      <c r="F17">
        <v>266278000</v>
      </c>
      <c r="G17">
        <f t="shared" si="1"/>
        <v>1216.6265149198496</v>
      </c>
      <c r="H17">
        <f t="shared" si="3"/>
        <v>10730245561212.816</v>
      </c>
      <c r="I17">
        <f t="shared" si="4"/>
        <v>1609536834181.9224</v>
      </c>
      <c r="J17">
        <v>9533449000000</v>
      </c>
      <c r="K17">
        <v>9533449000000</v>
      </c>
      <c r="L17">
        <v>8707618400000</v>
      </c>
      <c r="M17">
        <v>8707618400000</v>
      </c>
      <c r="N17">
        <v>8337628300000</v>
      </c>
      <c r="O17">
        <f t="shared" si="2"/>
        <v>41710.820724956619</v>
      </c>
      <c r="P17">
        <v>40122.559999999998</v>
      </c>
    </row>
    <row r="18" spans="1:16" x14ac:dyDescent="0.25">
      <c r="A18" t="s">
        <v>21</v>
      </c>
      <c r="B18">
        <v>1996</v>
      </c>
      <c r="C18">
        <v>11525703480999.998</v>
      </c>
      <c r="D18">
        <v>2166820951999.999</v>
      </c>
      <c r="E18" s="5">
        <f t="shared" si="0"/>
        <v>0.18799901937196117</v>
      </c>
      <c r="F18">
        <v>269394000</v>
      </c>
      <c r="G18">
        <f t="shared" si="1"/>
        <v>1231.806604021886</v>
      </c>
      <c r="H18">
        <f t="shared" si="3"/>
        <v>11287529679030.895</v>
      </c>
      <c r="I18">
        <f t="shared" si="4"/>
        <v>1693129451854.634</v>
      </c>
      <c r="J18">
        <v>10292246000000</v>
      </c>
      <c r="K18">
        <v>10292246000000</v>
      </c>
      <c r="L18">
        <v>9159865000000</v>
      </c>
      <c r="M18">
        <v>9159865000000</v>
      </c>
      <c r="N18">
        <v>8792576600000</v>
      </c>
      <c r="O18">
        <f t="shared" si="2"/>
        <v>42783.816569782539</v>
      </c>
      <c r="P18">
        <v>41844.586000000003</v>
      </c>
    </row>
    <row r="19" spans="1:16" x14ac:dyDescent="0.25">
      <c r="A19" t="s">
        <v>21</v>
      </c>
      <c r="B19">
        <v>1997</v>
      </c>
      <c r="C19">
        <v>12038266260999.998</v>
      </c>
      <c r="D19">
        <v>2322423443999.999</v>
      </c>
      <c r="E19" s="5">
        <f t="shared" si="0"/>
        <v>0.19292009278145666</v>
      </c>
      <c r="F19">
        <v>272657000</v>
      </c>
      <c r="G19">
        <f t="shared" si="1"/>
        <v>1253.427847000858</v>
      </c>
      <c r="H19">
        <f t="shared" si="3"/>
        <v>11916823671176.258</v>
      </c>
      <c r="I19">
        <f t="shared" si="4"/>
        <v>1787523550676.4387</v>
      </c>
      <c r="J19">
        <v>11003620000000</v>
      </c>
      <c r="K19">
        <v>11003620000000</v>
      </c>
      <c r="L19">
        <v>9670539000000</v>
      </c>
      <c r="M19">
        <v>9670539000000</v>
      </c>
      <c r="N19">
        <v>9297501000000</v>
      </c>
      <c r="O19">
        <f t="shared" si="2"/>
        <v>44151.686041436667</v>
      </c>
      <c r="P19">
        <v>43738.815999999999</v>
      </c>
    </row>
    <row r="20" spans="1:16" x14ac:dyDescent="0.25">
      <c r="A20" t="s">
        <v>21</v>
      </c>
      <c r="B20">
        <v>1998</v>
      </c>
      <c r="C20">
        <v>12577957789999.998</v>
      </c>
      <c r="D20">
        <v>2538263986999.999</v>
      </c>
      <c r="E20" s="5">
        <f t="shared" si="0"/>
        <v>0.20180255247938778</v>
      </c>
      <c r="F20">
        <v>275854000</v>
      </c>
      <c r="G20">
        <f t="shared" si="1"/>
        <v>1273.2868058464651</v>
      </c>
      <c r="H20">
        <f t="shared" si="3"/>
        <v>12667564107499.816</v>
      </c>
      <c r="I20">
        <f t="shared" si="4"/>
        <v>1900134616124.9724</v>
      </c>
      <c r="J20">
        <v>12046961000000</v>
      </c>
      <c r="K20">
        <v>12046961000000</v>
      </c>
      <c r="L20">
        <v>10279810000000</v>
      </c>
      <c r="M20">
        <v>10279810000000</v>
      </c>
      <c r="N20">
        <v>9886793000000</v>
      </c>
      <c r="O20">
        <f t="shared" si="2"/>
        <v>45596.430684347513</v>
      </c>
      <c r="P20">
        <v>45977.45</v>
      </c>
    </row>
    <row r="21" spans="1:16" x14ac:dyDescent="0.25">
      <c r="A21" t="s">
        <v>21</v>
      </c>
      <c r="B21">
        <v>1999</v>
      </c>
      <c r="C21">
        <v>13180243871999.998</v>
      </c>
      <c r="D21">
        <v>2749560973999.999</v>
      </c>
      <c r="E21" s="5">
        <f t="shared" si="0"/>
        <v>0.20861229888478344</v>
      </c>
      <c r="F21">
        <v>279040000</v>
      </c>
      <c r="G21">
        <f t="shared" si="1"/>
        <v>1295.7437857819773</v>
      </c>
      <c r="H21">
        <f t="shared" si="3"/>
        <v>13516990465374.844</v>
      </c>
      <c r="I21">
        <f t="shared" si="4"/>
        <v>2027548569806.2266</v>
      </c>
      <c r="J21">
        <v>13042878000000</v>
      </c>
      <c r="K21">
        <v>13042878000000</v>
      </c>
      <c r="L21">
        <v>10969094000000</v>
      </c>
      <c r="M21">
        <v>10969094000000</v>
      </c>
      <c r="N21">
        <v>10547283000000</v>
      </c>
      <c r="O21">
        <f t="shared" si="2"/>
        <v>47234.245527522929</v>
      </c>
      <c r="P21">
        <v>48474.383000000002</v>
      </c>
    </row>
    <row r="22" spans="1:16" x14ac:dyDescent="0.25">
      <c r="A22" t="s">
        <v>21</v>
      </c>
      <c r="B22">
        <v>2000</v>
      </c>
      <c r="C22">
        <v>13717679618999.996</v>
      </c>
      <c r="D22">
        <v>2925464708999.999</v>
      </c>
      <c r="E22" s="5">
        <f t="shared" si="0"/>
        <v>0.21326235852221065</v>
      </c>
      <c r="F22">
        <v>282162411</v>
      </c>
      <c r="G22">
        <f t="shared" si="1"/>
        <v>1310.2191402745827</v>
      </c>
      <c r="H22">
        <f t="shared" si="3"/>
        <v>14414906604568.617</v>
      </c>
      <c r="I22">
        <f t="shared" si="4"/>
        <v>2162235990685.2925</v>
      </c>
      <c r="J22">
        <v>13896523000000</v>
      </c>
      <c r="K22">
        <v>13896523000000</v>
      </c>
      <c r="L22">
        <v>11697735000000</v>
      </c>
      <c r="M22">
        <v>11697735000000</v>
      </c>
      <c r="N22">
        <v>11246669000000</v>
      </c>
      <c r="O22">
        <f t="shared" si="2"/>
        <v>48616.254625780028</v>
      </c>
      <c r="P22">
        <v>51057.417999999998</v>
      </c>
    </row>
    <row r="23" spans="1:16" x14ac:dyDescent="0.25">
      <c r="A23" t="s">
        <v>21</v>
      </c>
      <c r="B23">
        <v>2001</v>
      </c>
      <c r="C23">
        <v>13848757307999.998</v>
      </c>
      <c r="D23">
        <v>2913086622999.999</v>
      </c>
      <c r="E23" s="5">
        <f t="shared" si="0"/>
        <v>0.21035003778405439</v>
      </c>
      <c r="F23">
        <v>284968955</v>
      </c>
      <c r="G23">
        <f t="shared" si="1"/>
        <v>1291.9857930103676</v>
      </c>
      <c r="H23">
        <f t="shared" si="3"/>
        <v>15165757236883.324</v>
      </c>
      <c r="I23">
        <f t="shared" si="4"/>
        <v>2274863585532.4985</v>
      </c>
      <c r="J23">
        <v>13801689000000</v>
      </c>
      <c r="K23">
        <v>13801689000000</v>
      </c>
      <c r="L23">
        <v>12307087000000</v>
      </c>
      <c r="M23">
        <v>12307087000000</v>
      </c>
      <c r="N23">
        <v>11853828000000</v>
      </c>
      <c r="O23">
        <f t="shared" si="2"/>
        <v>48597.424614200514</v>
      </c>
      <c r="P23">
        <v>53296.05</v>
      </c>
    </row>
    <row r="24" spans="1:16" x14ac:dyDescent="0.25">
      <c r="A24" t="s">
        <v>21</v>
      </c>
      <c r="B24">
        <v>2002</v>
      </c>
      <c r="C24">
        <v>14084248130999.998</v>
      </c>
      <c r="D24">
        <v>2863689490999.999</v>
      </c>
      <c r="E24" s="5">
        <f t="shared" si="0"/>
        <v>0.20332569153598642</v>
      </c>
      <c r="F24">
        <v>287625193</v>
      </c>
      <c r="G24">
        <f t="shared" si="1"/>
        <v>1289.3774785371227</v>
      </c>
      <c r="H24">
        <f t="shared" si="3"/>
        <v>15754583142350.824</v>
      </c>
      <c r="I24">
        <f t="shared" si="4"/>
        <v>2363187471352.6235</v>
      </c>
      <c r="J24">
        <v>13564582000000</v>
      </c>
      <c r="K24">
        <v>13564582000000</v>
      </c>
      <c r="L24">
        <v>12784895000000</v>
      </c>
      <c r="M24">
        <v>12784895000000</v>
      </c>
      <c r="N24">
        <v>12354922000000</v>
      </c>
      <c r="O24">
        <f t="shared" si="2"/>
        <v>48967.366120115905</v>
      </c>
      <c r="P24">
        <v>55018.074000000001</v>
      </c>
    </row>
    <row r="25" spans="1:16" x14ac:dyDescent="0.25">
      <c r="A25" t="s">
        <v>21</v>
      </c>
      <c r="B25">
        <v>2003</v>
      </c>
      <c r="C25">
        <v>14477988211999.998</v>
      </c>
      <c r="D25">
        <v>2985022309999.999</v>
      </c>
      <c r="E25" s="5">
        <f t="shared" si="0"/>
        <v>0.20617659486183862</v>
      </c>
      <c r="F25">
        <v>290107933</v>
      </c>
      <c r="G25">
        <f t="shared" si="1"/>
        <v>1300.954708804763</v>
      </c>
      <c r="H25">
        <f t="shared" si="3"/>
        <v>16376417980998.199</v>
      </c>
      <c r="I25">
        <f t="shared" si="4"/>
        <v>2456462697149.73</v>
      </c>
      <c r="J25">
        <v>14181103000000</v>
      </c>
      <c r="K25">
        <v>14181103000000</v>
      </c>
      <c r="L25">
        <v>13289481000000</v>
      </c>
      <c r="M25">
        <v>13289481000000</v>
      </c>
      <c r="N25">
        <v>12877379000000</v>
      </c>
      <c r="O25">
        <f t="shared" si="2"/>
        <v>49905.523307423646</v>
      </c>
      <c r="P25">
        <v>56912.3</v>
      </c>
    </row>
    <row r="26" spans="1:16" x14ac:dyDescent="0.25">
      <c r="A26" t="s">
        <v>21</v>
      </c>
      <c r="B26">
        <v>2004</v>
      </c>
      <c r="C26">
        <v>15035068143999.998</v>
      </c>
      <c r="D26">
        <v>3163909784999.999</v>
      </c>
      <c r="E26" s="5">
        <f t="shared" si="0"/>
        <v>0.21043534719612239</v>
      </c>
      <c r="F26">
        <v>292805298</v>
      </c>
      <c r="G26">
        <f t="shared" si="1"/>
        <v>1323.9067696665429</v>
      </c>
      <c r="H26">
        <f t="shared" si="3"/>
        <v>17083865068848.469</v>
      </c>
      <c r="I26">
        <f t="shared" si="4"/>
        <v>2562579760327.27</v>
      </c>
      <c r="J26">
        <v>14987322000000</v>
      </c>
      <c r="K26">
        <v>14987322000000</v>
      </c>
      <c r="L26">
        <v>13863614000000</v>
      </c>
      <c r="M26">
        <v>13863614000000</v>
      </c>
      <c r="N26">
        <v>13457332000000</v>
      </c>
      <c r="O26">
        <f t="shared" si="2"/>
        <v>51348.347337622276</v>
      </c>
      <c r="P26">
        <v>58892.633000000002</v>
      </c>
    </row>
    <row r="27" spans="1:16" x14ac:dyDescent="0.25">
      <c r="A27" t="s">
        <v>21</v>
      </c>
      <c r="B27">
        <v>2005</v>
      </c>
      <c r="C27">
        <v>15558822250999.998</v>
      </c>
      <c r="D27">
        <v>3355622413999.999</v>
      </c>
      <c r="E27" s="5">
        <f t="shared" si="0"/>
        <v>0.21567329196683419</v>
      </c>
      <c r="F27">
        <v>295516599</v>
      </c>
      <c r="G27">
        <f t="shared" si="1"/>
        <v>1341.1931701996891</v>
      </c>
      <c r="H27">
        <f t="shared" si="3"/>
        <v>17876907722521.199</v>
      </c>
      <c r="I27">
        <f t="shared" si="4"/>
        <v>2681536158378.1797</v>
      </c>
      <c r="J27">
        <v>15935815000000</v>
      </c>
      <c r="K27">
        <v>15935815000000</v>
      </c>
      <c r="L27">
        <v>14507130000000</v>
      </c>
      <c r="M27">
        <v>14507130000000</v>
      </c>
      <c r="N27">
        <v>14096465000000</v>
      </c>
      <c r="O27">
        <f t="shared" si="2"/>
        <v>52649.571305468351</v>
      </c>
      <c r="P27">
        <v>61131.26</v>
      </c>
    </row>
    <row r="28" spans="1:16" x14ac:dyDescent="0.25">
      <c r="A28" t="s">
        <v>21</v>
      </c>
      <c r="B28">
        <v>2006</v>
      </c>
      <c r="C28">
        <v>15992063823999.998</v>
      </c>
      <c r="D28">
        <v>3445363047999.9995</v>
      </c>
      <c r="E28" s="5">
        <f t="shared" si="0"/>
        <v>0.21544205212771791</v>
      </c>
      <c r="F28">
        <v>298379912</v>
      </c>
      <c r="G28">
        <f t="shared" si="1"/>
        <v>1350.7359294239563</v>
      </c>
      <c r="H28">
        <f t="shared" si="3"/>
        <v>18640734612143.02</v>
      </c>
      <c r="I28">
        <f t="shared" si="4"/>
        <v>2796110191821.4526</v>
      </c>
      <c r="J28">
        <v>16362643000000</v>
      </c>
      <c r="K28">
        <v>16362643000000</v>
      </c>
      <c r="L28">
        <v>15126949000000</v>
      </c>
      <c r="M28">
        <v>15126949000000</v>
      </c>
      <c r="N28">
        <v>14719207000000</v>
      </c>
      <c r="O28">
        <f t="shared" si="2"/>
        <v>53596.315237200011</v>
      </c>
      <c r="P28">
        <v>63197.69</v>
      </c>
    </row>
    <row r="29" spans="1:16" x14ac:dyDescent="0.25">
      <c r="A29" t="s">
        <v>21</v>
      </c>
      <c r="B29">
        <v>2007</v>
      </c>
      <c r="C29">
        <v>16312522121999.998</v>
      </c>
      <c r="D29">
        <v>3425417292999.9995</v>
      </c>
      <c r="E29" s="5">
        <f t="shared" si="0"/>
        <v>0.2099869822325198</v>
      </c>
      <c r="F29">
        <v>301231207</v>
      </c>
      <c r="G29">
        <f t="shared" si="1"/>
        <v>1354.025741210017</v>
      </c>
      <c r="H29">
        <f t="shared" si="3"/>
        <v>19270041713321.566</v>
      </c>
      <c r="I29">
        <f t="shared" si="4"/>
        <v>2890506256998.2349</v>
      </c>
      <c r="J29">
        <v>16267808000000</v>
      </c>
      <c r="K29">
        <v>16267808000000</v>
      </c>
      <c r="L29">
        <v>15637626000000</v>
      </c>
      <c r="M29">
        <v>15637626000000</v>
      </c>
      <c r="N29">
        <v>15253754000000</v>
      </c>
      <c r="O29">
        <f t="shared" si="2"/>
        <v>54152.829265129883</v>
      </c>
      <c r="P29">
        <v>64919.72</v>
      </c>
    </row>
    <row r="30" spans="1:16" x14ac:dyDescent="0.25">
      <c r="A30" t="s">
        <v>21</v>
      </c>
      <c r="B30">
        <v>2008</v>
      </c>
      <c r="C30">
        <v>16331051066999.998</v>
      </c>
      <c r="D30">
        <v>3281354879999.9995</v>
      </c>
      <c r="E30" s="5">
        <f t="shared" si="0"/>
        <v>0.20092735406544668</v>
      </c>
      <c r="F30">
        <v>304093966</v>
      </c>
      <c r="G30">
        <f t="shared" si="1"/>
        <v>1338.0567752581439</v>
      </c>
      <c r="H30">
        <f t="shared" si="3"/>
        <v>19660890336323.332</v>
      </c>
      <c r="I30">
        <f t="shared" si="4"/>
        <v>2949133550448.4995</v>
      </c>
      <c r="J30">
        <v>15556462000000</v>
      </c>
      <c r="K30">
        <v>15556462000000</v>
      </c>
      <c r="L30">
        <v>15954838000000</v>
      </c>
      <c r="M30">
        <v>15954838000000</v>
      </c>
      <c r="N30">
        <v>15627425000000</v>
      </c>
      <c r="O30">
        <f t="shared" si="2"/>
        <v>53703.96289612665</v>
      </c>
      <c r="P30">
        <v>65866.83</v>
      </c>
    </row>
    <row r="31" spans="1:16" x14ac:dyDescent="0.25">
      <c r="A31" t="s">
        <v>21</v>
      </c>
      <c r="B31">
        <v>2009</v>
      </c>
      <c r="C31">
        <v>15910281497999.998</v>
      </c>
      <c r="D31">
        <v>2870462480999.9995</v>
      </c>
      <c r="E31" s="5">
        <f t="shared" si="0"/>
        <v>0.18041556847129517</v>
      </c>
      <c r="F31">
        <v>306771529</v>
      </c>
      <c r="G31">
        <f t="shared" si="1"/>
        <v>1297.7185917848635</v>
      </c>
      <c r="H31">
        <f t="shared" si="3"/>
        <v>19582219266874.832</v>
      </c>
      <c r="I31">
        <f t="shared" si="4"/>
        <v>2937332890031.2246</v>
      </c>
      <c r="J31">
        <v>13612096000000</v>
      </c>
      <c r="K31">
        <v>13612096000000</v>
      </c>
      <c r="L31">
        <v>15890976000000</v>
      </c>
      <c r="M31">
        <v>15890976000000</v>
      </c>
      <c r="N31">
        <v>15680290000000</v>
      </c>
      <c r="O31">
        <f t="shared" si="2"/>
        <v>51863.618341192276</v>
      </c>
      <c r="P31">
        <v>65522.425999999999</v>
      </c>
    </row>
    <row r="32" spans="1:16" x14ac:dyDescent="0.25">
      <c r="A32" t="s">
        <v>21</v>
      </c>
      <c r="B32">
        <v>2010</v>
      </c>
      <c r="C32">
        <v>16339094224999.998</v>
      </c>
      <c r="D32">
        <v>2935253933999.999</v>
      </c>
      <c r="E32" s="5">
        <f t="shared" si="0"/>
        <v>0.17964606198970612</v>
      </c>
      <c r="F32">
        <v>309327143</v>
      </c>
      <c r="G32">
        <f t="shared" si="1"/>
        <v>1325.3910202061677</v>
      </c>
      <c r="H32">
        <f t="shared" si="3"/>
        <v>19580140310843.605</v>
      </c>
      <c r="I32">
        <f t="shared" si="4"/>
        <v>2937021046626.5405</v>
      </c>
      <c r="J32">
        <v>13944074000000</v>
      </c>
      <c r="K32">
        <v>13944074000000</v>
      </c>
      <c r="L32">
        <v>15889271000000</v>
      </c>
      <c r="M32">
        <v>15889271000000</v>
      </c>
      <c r="N32">
        <v>15770299000000</v>
      </c>
      <c r="O32">
        <f t="shared" si="2"/>
        <v>52821.404764340383</v>
      </c>
      <c r="P32">
        <v>65350.222999999998</v>
      </c>
    </row>
    <row r="33" spans="1:16" x14ac:dyDescent="0.25">
      <c r="A33" t="s">
        <v>21</v>
      </c>
      <c r="B33">
        <v>2011</v>
      </c>
      <c r="C33">
        <v>16594704134999.998</v>
      </c>
      <c r="D33">
        <v>3071066258999.999</v>
      </c>
      <c r="E33" s="5">
        <f t="shared" si="0"/>
        <v>0.18506303179716191</v>
      </c>
      <c r="F33">
        <v>311583481</v>
      </c>
      <c r="G33">
        <f t="shared" si="1"/>
        <v>1336.5758736476128</v>
      </c>
      <c r="H33">
        <f t="shared" si="3"/>
        <v>19714185523217.063</v>
      </c>
      <c r="I33">
        <f t="shared" si="4"/>
        <v>2957127828482.5591</v>
      </c>
      <c r="J33">
        <v>14560596000000</v>
      </c>
      <c r="K33">
        <v>14560596000000</v>
      </c>
      <c r="L33">
        <v>15998094000000</v>
      </c>
      <c r="M33">
        <v>15998094000000</v>
      </c>
      <c r="N33">
        <v>15940712000000</v>
      </c>
      <c r="O33">
        <f t="shared" si="2"/>
        <v>53259.255213853903</v>
      </c>
      <c r="P33">
        <v>65608.52</v>
      </c>
    </row>
    <row r="34" spans="1:16" x14ac:dyDescent="0.25">
      <c r="A34" t="s">
        <v>21</v>
      </c>
      <c r="B34">
        <v>2012</v>
      </c>
      <c r="C34">
        <v>16974575728999.998</v>
      </c>
      <c r="D34">
        <v>3283305634999.9995</v>
      </c>
      <c r="E34" s="5">
        <f t="shared" si="0"/>
        <v>0.19342490130051837</v>
      </c>
      <c r="F34">
        <v>313877662</v>
      </c>
      <c r="G34">
        <f t="shared" si="1"/>
        <v>1353.0799492670308</v>
      </c>
      <c r="H34">
        <f t="shared" si="3"/>
        <v>20040363329734.504</v>
      </c>
      <c r="I34">
        <f t="shared" si="4"/>
        <v>3006054499460.1753</v>
      </c>
      <c r="J34">
        <v>15556508000000</v>
      </c>
      <c r="K34">
        <v>15556508000000</v>
      </c>
      <c r="L34">
        <v>16262805000000</v>
      </c>
      <c r="M34">
        <v>16262805000000</v>
      </c>
      <c r="N34">
        <v>16233242000000</v>
      </c>
      <c r="O34">
        <f t="shared" si="2"/>
        <v>54080.228649721488</v>
      </c>
      <c r="P34">
        <v>66297.335999999996</v>
      </c>
    </row>
    <row r="35" spans="1:16" x14ac:dyDescent="0.25">
      <c r="A35" t="s">
        <v>21</v>
      </c>
      <c r="B35">
        <v>2013</v>
      </c>
      <c r="C35">
        <v>17334068403000</v>
      </c>
      <c r="D35">
        <v>3417211518000</v>
      </c>
      <c r="E35" s="5">
        <f t="shared" si="0"/>
        <v>0.19713845812495956</v>
      </c>
      <c r="F35">
        <v>316059947</v>
      </c>
      <c r="G35">
        <f t="shared" si="1"/>
        <v>1366.0890110993505</v>
      </c>
      <c r="H35">
        <f t="shared" si="3"/>
        <v>20451520348274.328</v>
      </c>
      <c r="I35">
        <f t="shared" si="4"/>
        <v>3067728052241.1489</v>
      </c>
      <c r="J35">
        <v>16220454000000</v>
      </c>
      <c r="K35">
        <v>16220454000000</v>
      </c>
      <c r="L35">
        <v>16596411000000</v>
      </c>
      <c r="M35">
        <v>16596411000000</v>
      </c>
      <c r="N35">
        <v>16580651000000</v>
      </c>
      <c r="O35">
        <f t="shared" si="2"/>
        <v>54844.242579715421</v>
      </c>
      <c r="P35">
        <v>67244.445000000007</v>
      </c>
    </row>
    <row r="36" spans="1:16" x14ac:dyDescent="0.25">
      <c r="A36" t="s">
        <v>21</v>
      </c>
      <c r="B36">
        <v>2014</v>
      </c>
      <c r="C36">
        <v>17771549056000</v>
      </c>
      <c r="D36">
        <v>3618540059000</v>
      </c>
      <c r="E36" s="5">
        <f t="shared" si="0"/>
        <v>0.20361421773631572</v>
      </c>
      <c r="F36">
        <v>318386329</v>
      </c>
      <c r="G36">
        <f t="shared" si="1"/>
        <v>1381.4436297291859</v>
      </c>
      <c r="H36">
        <f t="shared" si="3"/>
        <v>21002332355033.18</v>
      </c>
      <c r="I36">
        <f t="shared" si="4"/>
        <v>3150349853254.9771</v>
      </c>
      <c r="J36">
        <v>17168941000000</v>
      </c>
      <c r="K36">
        <v>17168941000000</v>
      </c>
      <c r="L36">
        <v>17043381000000</v>
      </c>
      <c r="M36">
        <v>17043381000000</v>
      </c>
      <c r="N36">
        <v>17021561000000</v>
      </c>
      <c r="O36">
        <f t="shared" si="2"/>
        <v>55817.563247195831</v>
      </c>
      <c r="P36">
        <v>68535.960000000006</v>
      </c>
    </row>
    <row r="37" spans="1:16" x14ac:dyDescent="0.25">
      <c r="A37" t="s">
        <v>21</v>
      </c>
      <c r="B37">
        <v>2015</v>
      </c>
      <c r="C37">
        <v>18295019000000</v>
      </c>
      <c r="D37">
        <v>3777790000000</v>
      </c>
      <c r="E37" s="5">
        <f t="shared" si="0"/>
        <v>0.20649281643271319</v>
      </c>
      <c r="F37">
        <v>320738994</v>
      </c>
      <c r="G37">
        <f t="shared" si="1"/>
        <v>1401.3535106276529</v>
      </c>
      <c r="H37">
        <f t="shared" si="3"/>
        <v>21629772501778.203</v>
      </c>
      <c r="I37">
        <f t="shared" si="4"/>
        <v>3244465875266.7305</v>
      </c>
      <c r="J37">
        <v>17927737000000</v>
      </c>
      <c r="K37">
        <v>17927737000000</v>
      </c>
      <c r="L37">
        <v>17552595000000</v>
      </c>
      <c r="M37">
        <v>17552595000000</v>
      </c>
      <c r="N37">
        <v>17516543000000</v>
      </c>
      <c r="O37">
        <f t="shared" si="2"/>
        <v>57040.20821366048</v>
      </c>
      <c r="P37">
        <v>69999.69</v>
      </c>
    </row>
    <row r="38" spans="1:16" x14ac:dyDescent="0.25">
      <c r="A38" t="s">
        <v>21</v>
      </c>
      <c r="B38">
        <v>2016</v>
      </c>
      <c r="C38">
        <v>18627887993000</v>
      </c>
      <c r="D38">
        <v>3792096083462.4102</v>
      </c>
      <c r="E38" s="5">
        <f t="shared" si="0"/>
        <v>0.2035709085693132</v>
      </c>
      <c r="F38">
        <v>323071755</v>
      </c>
      <c r="G38">
        <f t="shared" si="1"/>
        <v>1408.1882938975789</v>
      </c>
      <c r="H38">
        <f t="shared" si="3"/>
        <v>22177402709973.883</v>
      </c>
      <c r="I38">
        <f t="shared" si="4"/>
        <v>3326610406496.0825</v>
      </c>
      <c r="J38">
        <v>17975172000000</v>
      </c>
      <c r="K38">
        <v>17975172000000</v>
      </c>
      <c r="L38">
        <v>17996970000000</v>
      </c>
      <c r="M38">
        <v>17996970000000</v>
      </c>
      <c r="N38">
        <v>17961752000000</v>
      </c>
      <c r="O38">
        <f t="shared" si="2"/>
        <v>57658.670882572202</v>
      </c>
      <c r="P38">
        <v>71291.199999999997</v>
      </c>
    </row>
    <row r="39" spans="1:16" x14ac:dyDescent="0.25">
      <c r="A39" t="s">
        <v>21</v>
      </c>
      <c r="B39">
        <v>2017</v>
      </c>
      <c r="C39">
        <v>19085691122935.199</v>
      </c>
      <c r="D39">
        <v>3952143427600.1104</v>
      </c>
      <c r="E39" s="5">
        <f t="shared" si="0"/>
        <v>0.2070736344910683</v>
      </c>
      <c r="F39">
        <v>325122128</v>
      </c>
      <c r="G39">
        <f t="shared" si="1"/>
        <v>1423.4644237834721</v>
      </c>
      <c r="H39">
        <f t="shared" si="3"/>
        <v>22802935731077.91</v>
      </c>
      <c r="I39">
        <f t="shared" si="4"/>
        <v>3420440359661.6865</v>
      </c>
      <c r="J39">
        <v>18733964000000</v>
      </c>
      <c r="K39">
        <v>18733964000000</v>
      </c>
      <c r="L39">
        <v>18504560000000</v>
      </c>
      <c r="M39">
        <v>18504560000000</v>
      </c>
      <c r="N39">
        <v>18461034000000</v>
      </c>
      <c r="O39">
        <f t="shared" si="2"/>
        <v>58703.144078016121</v>
      </c>
      <c r="P39">
        <v>72754.929999999993</v>
      </c>
    </row>
    <row r="40" spans="1:16" x14ac:dyDescent="0.25">
      <c r="A40" t="s">
        <v>21</v>
      </c>
      <c r="B40">
        <v>2018</v>
      </c>
      <c r="C40">
        <v>19651869117582.5</v>
      </c>
      <c r="D40">
        <v>4171824059917.0605</v>
      </c>
      <c r="E40" s="5">
        <f t="shared" si="0"/>
        <v>0.2122863751511827</v>
      </c>
      <c r="F40">
        <v>326838199</v>
      </c>
      <c r="G40">
        <f t="shared" si="1"/>
        <v>1444.8579007839428</v>
      </c>
      <c r="H40">
        <f t="shared" si="3"/>
        <v>23554319431333.281</v>
      </c>
      <c r="I40">
        <f t="shared" si="4"/>
        <v>3533147914699.9922</v>
      </c>
      <c r="J40">
        <v>19777299000000</v>
      </c>
      <c r="K40">
        <v>19777299000000</v>
      </c>
      <c r="L40">
        <v>19114316000000</v>
      </c>
      <c r="M40">
        <v>19114316000000</v>
      </c>
      <c r="N40">
        <v>19047974000000</v>
      </c>
      <c r="O40">
        <f t="shared" si="2"/>
        <v>60127.210276245889</v>
      </c>
      <c r="P40">
        <v>74735.259999999995</v>
      </c>
    </row>
    <row r="41" spans="1:16" x14ac:dyDescent="0.25">
      <c r="A41" t="s">
        <v>21</v>
      </c>
      <c r="B41">
        <v>2019</v>
      </c>
      <c r="C41">
        <v>20159639089698.098</v>
      </c>
      <c r="D41">
        <v>4308413389711.0195</v>
      </c>
      <c r="E41" s="5">
        <f t="shared" si="0"/>
        <v>0.21371480761839079</v>
      </c>
      <c r="F41">
        <v>328329953</v>
      </c>
      <c r="G41">
        <f t="shared" si="1"/>
        <v>1461.8321757025026</v>
      </c>
      <c r="H41">
        <f t="shared" si="3"/>
        <v>24329584906344.309</v>
      </c>
      <c r="I41">
        <f t="shared" si="4"/>
        <v>3649437735951.646</v>
      </c>
      <c r="J41">
        <v>20441238000000</v>
      </c>
      <c r="K41">
        <v>20441238000000</v>
      </c>
      <c r="L41">
        <v>19743470000000</v>
      </c>
      <c r="M41">
        <v>19743470000000</v>
      </c>
      <c r="N41">
        <v>19656274000000</v>
      </c>
      <c r="O41">
        <f t="shared" si="2"/>
        <v>61400.548154368655</v>
      </c>
      <c r="P41">
        <v>76715.585999999996</v>
      </c>
    </row>
    <row r="42" spans="1:16" x14ac:dyDescent="0.25">
      <c r="A42" t="s">
        <v>21</v>
      </c>
      <c r="B42">
        <v>2020</v>
      </c>
      <c r="C42">
        <v>19723580221938.199</v>
      </c>
      <c r="D42">
        <v>4178476545894.9199</v>
      </c>
      <c r="E42" s="5">
        <f t="shared" si="0"/>
        <v>0.21185182907346975</v>
      </c>
      <c r="F42">
        <v>331526933</v>
      </c>
      <c r="G42">
        <f t="shared" si="1"/>
        <v>1410.8500137025012</v>
      </c>
      <c r="H42">
        <f t="shared" si="3"/>
        <v>24858623716287.586</v>
      </c>
      <c r="I42">
        <f t="shared" si="4"/>
        <v>3728793557443.1377</v>
      </c>
      <c r="J42">
        <v>19824745000000</v>
      </c>
      <c r="K42">
        <v>19824745000000</v>
      </c>
      <c r="L42">
        <v>20172748000000</v>
      </c>
      <c r="M42">
        <v>20172748000000</v>
      </c>
      <c r="N42">
        <v>20104236000000</v>
      </c>
      <c r="O42">
        <f t="shared" si="2"/>
        <v>59493.14598201347</v>
      </c>
      <c r="P42">
        <v>77748.800000000003</v>
      </c>
    </row>
    <row r="43" spans="1:16" x14ac:dyDescent="0.25">
      <c r="A43" t="s">
        <v>21</v>
      </c>
      <c r="B43">
        <v>2021</v>
      </c>
      <c r="C43">
        <v>20917853444668.301</v>
      </c>
      <c r="D43">
        <v>4459693626039.4199</v>
      </c>
      <c r="E43" s="5">
        <f t="shared" si="0"/>
        <v>0.21320034762821899</v>
      </c>
      <c r="F43">
        <v>332048977</v>
      </c>
      <c r="G43">
        <f t="shared" si="1"/>
        <v>1480.3404861304223</v>
      </c>
      <c r="H43">
        <f t="shared" si="3"/>
        <v>25589523784883.867</v>
      </c>
      <c r="I43">
        <f t="shared" si="4"/>
        <v>3838428567732.5801</v>
      </c>
      <c r="J43">
        <v>21152615000000</v>
      </c>
      <c r="K43">
        <v>21152615000000</v>
      </c>
      <c r="L43">
        <v>20765870000000</v>
      </c>
      <c r="M43">
        <v>20765870000000</v>
      </c>
      <c r="N43">
        <v>20687348000000</v>
      </c>
      <c r="O43">
        <f t="shared" si="2"/>
        <v>62996.289383744435</v>
      </c>
      <c r="P43">
        <v>79901.33</v>
      </c>
    </row>
    <row r="44" spans="1:16" x14ac:dyDescent="0.25">
      <c r="A44" t="s">
        <v>21</v>
      </c>
      <c r="B44">
        <v>2022</v>
      </c>
      <c r="C44">
        <v>21443388432051</v>
      </c>
      <c r="D44">
        <v>4675491736471.2305</v>
      </c>
      <c r="E44" s="5">
        <f t="shared" si="0"/>
        <v>0.21803884919059094</v>
      </c>
      <c r="F44">
        <v>333271411</v>
      </c>
      <c r="G44">
        <f t="shared" si="1"/>
        <v>1497.663849263887</v>
      </c>
      <c r="H44">
        <f t="shared" si="3"/>
        <v>26426586953622.52</v>
      </c>
      <c r="I44">
        <f t="shared" si="4"/>
        <v>3963988043043.3779</v>
      </c>
      <c r="J44">
        <v>22195948000000</v>
      </c>
      <c r="K44">
        <v>22195948000000</v>
      </c>
      <c r="L44">
        <v>21445170000000</v>
      </c>
      <c r="M44">
        <v>21445170000000</v>
      </c>
      <c r="N44">
        <v>21345420000000</v>
      </c>
      <c r="O44">
        <f t="shared" si="2"/>
        <v>64342.117938376061</v>
      </c>
      <c r="P44">
        <v>82139.960000000006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A40D-8CC0-4F4E-8D9F-B6AFC7A7A630}">
  <dimension ref="A1:B4"/>
  <sheetViews>
    <sheetView tabSelected="1" workbookViewId="0">
      <selection activeCell="B9" sqref="B9"/>
    </sheetView>
  </sheetViews>
  <sheetFormatPr defaultRowHeight="15" x14ac:dyDescent="0.25"/>
  <cols>
    <col min="1" max="1" width="45.42578125" style="1" bestFit="1" customWidth="1"/>
    <col min="2" max="2" width="62.42578125" bestFit="1" customWidth="1"/>
  </cols>
  <sheetData>
    <row r="1" spans="1:2" x14ac:dyDescent="0.25">
      <c r="A1" s="1" t="s">
        <v>1</v>
      </c>
      <c r="B1" s="2" t="s">
        <v>22</v>
      </c>
    </row>
    <row r="2" spans="1:2" x14ac:dyDescent="0.25">
      <c r="A2" s="1" t="s">
        <v>23</v>
      </c>
      <c r="B2" s="2" t="s">
        <v>24</v>
      </c>
    </row>
    <row r="3" spans="1:2" x14ac:dyDescent="0.25">
      <c r="A3" s="1" t="s">
        <v>25</v>
      </c>
      <c r="B3" s="2" t="s">
        <v>26</v>
      </c>
    </row>
    <row r="4" spans="1:2" x14ac:dyDescent="0.25">
      <c r="A4" s="1" t="s">
        <v>27</v>
      </c>
      <c r="B4" t="s">
        <v>29</v>
      </c>
    </row>
  </sheetData>
  <hyperlinks>
    <hyperlink ref="B1" r:id="rId1" xr:uid="{5DADE5CF-73E2-4FF4-BC82-1F3961F79567}"/>
    <hyperlink ref="B2" r:id="rId2" xr:uid="{47EB8831-EE6B-4F9F-9AC6-01095DF42D71}"/>
    <hyperlink ref="B3" r:id="rId3" xr:uid="{EF711172-0C37-4281-BECB-1FA612BCB4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Processed</vt:lpstr>
      <vt:lpstr>USA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</dc:creator>
  <cp:lastModifiedBy>Paolo Antonio David B. Mayo</cp:lastModifiedBy>
  <dcterms:created xsi:type="dcterms:W3CDTF">2015-06-05T18:17:20Z</dcterms:created>
  <dcterms:modified xsi:type="dcterms:W3CDTF">2025-01-10T01:23:52Z</dcterms:modified>
</cp:coreProperties>
</file>