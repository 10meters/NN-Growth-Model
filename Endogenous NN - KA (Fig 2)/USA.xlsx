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New Economics\ProductionFunction - KA (Alt)\"/>
    </mc:Choice>
  </mc:AlternateContent>
  <xr:revisionPtr revIDLastSave="0" documentId="13_ncr:1_{2C91EB2E-7B67-4274-B8B4-62B1195AD51D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" l="1"/>
  <c r="P4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2" i="1"/>
  <c r="B44" i="1"/>
  <c r="N4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2" i="1"/>
</calcChain>
</file>

<file path=xl/sharedStrings.xml><?xml version="1.0" encoding="utf-8"?>
<sst xmlns="http://schemas.openxmlformats.org/spreadsheetml/2006/main" count="15" uniqueCount="15">
  <si>
    <t>Year</t>
  </si>
  <si>
    <t>GDP (constant 2015 US$)</t>
  </si>
  <si>
    <t>Gross fixed capital formation (constant 2015 US$)</t>
  </si>
  <si>
    <t>Savings Rate</t>
  </si>
  <si>
    <t>Population</t>
  </si>
  <si>
    <t>Labor Productivity</t>
  </si>
  <si>
    <t>Capital Stock</t>
  </si>
  <si>
    <t>Depreciation</t>
  </si>
  <si>
    <t>Simulated</t>
  </si>
  <si>
    <t>Capital_Previous_Year</t>
  </si>
  <si>
    <t>High R2</t>
  </si>
  <si>
    <t>Simul</t>
  </si>
  <si>
    <t>SSR</t>
  </si>
  <si>
    <t>SST</t>
  </si>
  <si>
    <t>R-Square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</si>
</sst>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topLeftCell="A40" zoomScaleNormal="100" workbookViewId="0">
      <selection activeCell="M47" sqref="M47"/>
    </sheetView>
  </sheetViews>
  <sheetFormatPr defaultRowHeight="15" x14ac:dyDescent="0.25"/>
  <cols>
    <col min="2" max="2" width="11" bestFit="1" customWidth="1"/>
    <col min="7" max="7" width="12" bestFit="1" customWidth="1"/>
    <col min="13" max="13" width="12" bestFit="1" customWidth="1"/>
    <col min="14" max="14" width="12.7109375" bestFit="1" customWidth="1"/>
    <col min="15" max="16" width="12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P1" s="1" t="s">
        <v>13</v>
      </c>
    </row>
    <row r="2" spans="1:16" x14ac:dyDescent="0.25">
      <c r="A2">
        <v>1981</v>
      </c>
      <c r="B2">
        <v>7241747172999.999</v>
      </c>
      <c r="C2">
        <v>1241295577999.9993</v>
      </c>
      <c r="D2">
        <v>0.17140830083491779</v>
      </c>
      <c r="E2">
        <v>229466000</v>
      </c>
      <c r="F2">
        <v>1468.6986813714948</v>
      </c>
      <c r="G2">
        <v>2276644760699.999</v>
      </c>
      <c r="H2">
        <v>341496714104.99982</v>
      </c>
      <c r="I2">
        <v>835634600000</v>
      </c>
      <c r="J2">
        <v>1220000000000</v>
      </c>
      <c r="K2">
        <v>1031754500000</v>
      </c>
      <c r="L2">
        <v>6775186128896</v>
      </c>
      <c r="M2">
        <f>B2-I2</f>
        <v>6406112572999.999</v>
      </c>
      <c r="N2">
        <f>M2^2</f>
        <v>4.1038278297948669E+25</v>
      </c>
      <c r="O2">
        <f>$B$44-I2</f>
        <v>12972414915758.887</v>
      </c>
      <c r="P2">
        <f>O2^2</f>
        <v>1.6828354874660364E+26</v>
      </c>
    </row>
    <row r="3" spans="1:16" x14ac:dyDescent="0.25">
      <c r="A3">
        <v>1982</v>
      </c>
      <c r="B3">
        <v>7111177472999.999</v>
      </c>
      <c r="C3">
        <v>1179656251999.9993</v>
      </c>
      <c r="D3">
        <v>0.16588761235097352</v>
      </c>
      <c r="E3">
        <v>231664000</v>
      </c>
      <c r="F3">
        <v>1290.8988932255793</v>
      </c>
      <c r="G3">
        <v>3114804298594.9985</v>
      </c>
      <c r="H3">
        <v>467220644789.24976</v>
      </c>
      <c r="I3">
        <v>1582226100000</v>
      </c>
      <c r="J3">
        <v>2310000000000</v>
      </c>
      <c r="K3">
        <v>1953568100000</v>
      </c>
      <c r="L3">
        <v>6944800112640</v>
      </c>
      <c r="M3">
        <f t="shared" ref="M3:M43" si="0">B3-I3</f>
        <v>5528951372999.999</v>
      </c>
      <c r="N3">
        <f t="shared" ref="N3:N44" si="1">M3^2</f>
        <v>3.0569303284998573E+25</v>
      </c>
      <c r="O3">
        <f t="shared" ref="O3:O43" si="2">$B$44-I3</f>
        <v>12225823415758.887</v>
      </c>
      <c r="P3">
        <f t="shared" ref="P3:P43" si="3">O3^2</f>
        <v>1.4947075819331829E+26</v>
      </c>
    </row>
    <row r="4" spans="1:16" x14ac:dyDescent="0.25">
      <c r="A4">
        <v>1983</v>
      </c>
      <c r="B4">
        <v>7437138984999.999</v>
      </c>
      <c r="C4">
        <v>1265291536999.999</v>
      </c>
      <c r="D4">
        <v>0.17013149001947814</v>
      </c>
      <c r="E4">
        <v>233792000</v>
      </c>
      <c r="F4">
        <v>1243.61934307667</v>
      </c>
      <c r="G4">
        <v>3912875190805.748</v>
      </c>
      <c r="H4">
        <v>586931278620.86218</v>
      </c>
      <c r="I4">
        <v>2205527000000</v>
      </c>
      <c r="J4">
        <v>3220000000000</v>
      </c>
      <c r="K4">
        <v>2723155500000</v>
      </c>
      <c r="L4">
        <v>7118659256320</v>
      </c>
      <c r="M4">
        <f t="shared" si="0"/>
        <v>5231611984999.999</v>
      </c>
      <c r="N4">
        <f t="shared" si="1"/>
        <v>2.7369763961595629E+25</v>
      </c>
      <c r="O4">
        <f t="shared" si="2"/>
        <v>11602522515758.887</v>
      </c>
      <c r="P4">
        <f t="shared" si="3"/>
        <v>1.3461852872869192E+26</v>
      </c>
    </row>
    <row r="5" spans="1:16" x14ac:dyDescent="0.25">
      <c r="A5">
        <v>1984</v>
      </c>
      <c r="B5">
        <v>7975324063999.999</v>
      </c>
      <c r="C5">
        <v>1455201120999.9988</v>
      </c>
      <c r="D5">
        <v>0.18246294562106447</v>
      </c>
      <c r="E5">
        <v>235825000</v>
      </c>
      <c r="F5">
        <v>1240.2554311882602</v>
      </c>
      <c r="G5">
        <v>4781145033184.8848</v>
      </c>
      <c r="H5">
        <v>717171754977.73267</v>
      </c>
      <c r="I5">
        <v>2801430700000</v>
      </c>
      <c r="J5">
        <v>4090000000000</v>
      </c>
      <c r="K5">
        <v>3458914600000</v>
      </c>
      <c r="L5">
        <v>7296871038976</v>
      </c>
      <c r="M5">
        <f t="shared" si="0"/>
        <v>5173893363999.999</v>
      </c>
      <c r="N5">
        <f t="shared" si="1"/>
        <v>2.6769172542043227E+25</v>
      </c>
      <c r="O5">
        <f t="shared" si="2"/>
        <v>11006618815758.887</v>
      </c>
      <c r="P5">
        <f t="shared" si="3"/>
        <v>1.2114565775541755E+26</v>
      </c>
    </row>
    <row r="6" spans="1:16" x14ac:dyDescent="0.25">
      <c r="A6">
        <v>1985</v>
      </c>
      <c r="B6">
        <v>8307861209999.999</v>
      </c>
      <c r="C6">
        <v>1557132741999.9988</v>
      </c>
      <c r="D6">
        <v>0.18742883428597851</v>
      </c>
      <c r="E6">
        <v>237924000</v>
      </c>
      <c r="F6">
        <v>1216.9044297625785</v>
      </c>
      <c r="G6">
        <v>5621106020207.1514</v>
      </c>
      <c r="H6">
        <v>843165903031.07263</v>
      </c>
      <c r="I6">
        <v>3465828400000</v>
      </c>
      <c r="J6">
        <v>5060000000000</v>
      </c>
      <c r="K6">
        <v>4279244700000</v>
      </c>
      <c r="L6">
        <v>7479545561088</v>
      </c>
      <c r="M6">
        <f t="shared" si="0"/>
        <v>4842032809999.999</v>
      </c>
      <c r="N6">
        <f t="shared" si="1"/>
        <v>2.3445281733116488E+25</v>
      </c>
      <c r="O6">
        <f t="shared" si="2"/>
        <v>10342221115758.887</v>
      </c>
      <c r="P6">
        <f t="shared" si="3"/>
        <v>1.0696153760724899E+26</v>
      </c>
    </row>
    <row r="7" spans="1:16" x14ac:dyDescent="0.25">
      <c r="A7">
        <v>1986</v>
      </c>
      <c r="B7">
        <v>8595533785999.999</v>
      </c>
      <c r="C7">
        <v>1606118255999.999</v>
      </c>
      <c r="D7">
        <v>0.18685497561721751</v>
      </c>
      <c r="E7">
        <v>240133000</v>
      </c>
      <c r="F7">
        <v>1199.3317682271484</v>
      </c>
      <c r="G7">
        <v>6384058373176.0781</v>
      </c>
      <c r="H7">
        <v>957608755976.41174</v>
      </c>
      <c r="I7">
        <v>4116527400000</v>
      </c>
      <c r="J7">
        <v>6010000000000</v>
      </c>
      <c r="K7">
        <v>5082659700000</v>
      </c>
      <c r="L7">
        <v>7666793447424</v>
      </c>
      <c r="M7">
        <f t="shared" si="0"/>
        <v>4479006385999.999</v>
      </c>
      <c r="N7">
        <f t="shared" si="1"/>
        <v>2.0061498205828773E+25</v>
      </c>
      <c r="O7">
        <f t="shared" si="2"/>
        <v>9691522115758.8867</v>
      </c>
      <c r="P7">
        <f t="shared" si="3"/>
        <v>9.3925600920243605E+25</v>
      </c>
    </row>
    <row r="8" spans="1:16" x14ac:dyDescent="0.25">
      <c r="A8">
        <v>1987</v>
      </c>
      <c r="B8">
        <v>8892477646000</v>
      </c>
      <c r="C8">
        <v>1634515969999.9988</v>
      </c>
      <c r="D8">
        <v>0.18380883653221597</v>
      </c>
      <c r="E8">
        <v>242289000</v>
      </c>
      <c r="F8">
        <v>1192.6480035267955</v>
      </c>
      <c r="G8">
        <v>7060965587199.665</v>
      </c>
      <c r="H8">
        <v>1059144838079.9497</v>
      </c>
      <c r="I8">
        <v>4719280000000</v>
      </c>
      <c r="J8">
        <v>6890000000000</v>
      </c>
      <c r="K8">
        <v>5826876000000</v>
      </c>
      <c r="L8">
        <v>7858726371328</v>
      </c>
      <c r="M8">
        <f t="shared" si="0"/>
        <v>4173197646000</v>
      </c>
      <c r="N8">
        <f t="shared" si="1"/>
        <v>1.7415578592579941E+25</v>
      </c>
      <c r="O8">
        <f t="shared" si="2"/>
        <v>9088769515758.8867</v>
      </c>
      <c r="P8">
        <f t="shared" si="3"/>
        <v>8.2605731310588036E+25</v>
      </c>
    </row>
    <row r="9" spans="1:16" x14ac:dyDescent="0.25">
      <c r="A9">
        <v>1988</v>
      </c>
      <c r="B9">
        <v>9263914872000</v>
      </c>
      <c r="C9">
        <v>1672307044999.9988</v>
      </c>
      <c r="D9">
        <v>0.18051839509606396</v>
      </c>
      <c r="E9">
        <v>244499000</v>
      </c>
      <c r="F9">
        <v>1201.1580469004241</v>
      </c>
      <c r="G9">
        <v>7674127794119.7139</v>
      </c>
      <c r="H9">
        <v>1151119169117.957</v>
      </c>
      <c r="I9">
        <v>5274086700000</v>
      </c>
      <c r="J9">
        <v>7700000000000</v>
      </c>
      <c r="K9">
        <v>6511892400000</v>
      </c>
      <c r="L9">
        <v>8055467540480</v>
      </c>
      <c r="M9">
        <f t="shared" si="0"/>
        <v>3989828172000</v>
      </c>
      <c r="N9">
        <f t="shared" si="1"/>
        <v>1.5918728842084861E+25</v>
      </c>
      <c r="O9">
        <f t="shared" si="2"/>
        <v>8533962815758.8867</v>
      </c>
      <c r="P9">
        <f t="shared" si="3"/>
        <v>7.2828521340755348E+25</v>
      </c>
    </row>
    <row r="10" spans="1:16" x14ac:dyDescent="0.25">
      <c r="A10">
        <v>1989</v>
      </c>
      <c r="B10">
        <v>9604107859000</v>
      </c>
      <c r="C10">
        <v>1721314222999.9988</v>
      </c>
      <c r="D10">
        <v>0.17922687336200174</v>
      </c>
      <c r="E10">
        <v>246819000</v>
      </c>
      <c r="F10">
        <v>1208.2393423732917</v>
      </c>
      <c r="G10">
        <v>8244322848001.7559</v>
      </c>
      <c r="H10">
        <v>1236648427200.2634</v>
      </c>
      <c r="I10">
        <v>5787796600000</v>
      </c>
      <c r="J10">
        <v>8450000000000</v>
      </c>
      <c r="K10">
        <v>7146169000000</v>
      </c>
      <c r="L10">
        <v>8257132298240</v>
      </c>
      <c r="M10">
        <f t="shared" si="0"/>
        <v>3816311259000</v>
      </c>
      <c r="N10">
        <f t="shared" si="1"/>
        <v>1.4564231625570165E+25</v>
      </c>
      <c r="O10">
        <f t="shared" si="2"/>
        <v>8020252915758.8867</v>
      </c>
      <c r="P10">
        <f t="shared" si="3"/>
        <v>6.4324456832738925E+25</v>
      </c>
    </row>
    <row r="11" spans="1:16" x14ac:dyDescent="0.25">
      <c r="A11">
        <v>1990</v>
      </c>
      <c r="B11">
        <v>9785238028000</v>
      </c>
      <c r="C11">
        <v>1719509208999.9988</v>
      </c>
      <c r="D11">
        <v>0.17572482182648022</v>
      </c>
      <c r="E11">
        <v>249623000</v>
      </c>
      <c r="F11">
        <v>1198.8282199914916</v>
      </c>
      <c r="G11">
        <v>8727183629801.4912</v>
      </c>
      <c r="H11">
        <v>1309077544470.2236</v>
      </c>
      <c r="I11">
        <v>6274109000000</v>
      </c>
      <c r="J11">
        <v>9160000000000</v>
      </c>
      <c r="K11">
        <v>7746616000000</v>
      </c>
      <c r="L11">
        <v>8463845949440</v>
      </c>
      <c r="M11">
        <f t="shared" si="0"/>
        <v>3511129028000</v>
      </c>
      <c r="N11">
        <f t="shared" si="1"/>
        <v>1.2328027051264225E+25</v>
      </c>
      <c r="O11">
        <f t="shared" si="2"/>
        <v>7533940515758.8867</v>
      </c>
      <c r="P11">
        <f t="shared" si="3"/>
        <v>5.6760259694993283E+25</v>
      </c>
    </row>
    <row r="12" spans="1:16" x14ac:dyDescent="0.25">
      <c r="A12">
        <v>1991</v>
      </c>
      <c r="B12">
        <v>9774639354000</v>
      </c>
      <c r="C12">
        <v>1648888138999.9988</v>
      </c>
      <c r="D12">
        <v>0.16869043238155249</v>
      </c>
      <c r="E12">
        <v>252981000</v>
      </c>
      <c r="F12">
        <v>1171.8922790254098</v>
      </c>
      <c r="G12">
        <v>9066994224331.2656</v>
      </c>
      <c r="H12">
        <v>1360049133649.6897</v>
      </c>
      <c r="I12">
        <v>6698775300000</v>
      </c>
      <c r="J12">
        <v>9780000000000</v>
      </c>
      <c r="K12">
        <v>8270950400000</v>
      </c>
      <c r="L12">
        <v>8675733274624</v>
      </c>
      <c r="M12">
        <f t="shared" si="0"/>
        <v>3075864054000</v>
      </c>
      <c r="N12">
        <f t="shared" si="1"/>
        <v>9.4609396786893151E+24</v>
      </c>
      <c r="O12">
        <f t="shared" si="2"/>
        <v>7109274215758.8867</v>
      </c>
      <c r="P12">
        <f t="shared" si="3"/>
        <v>5.0541779874854132E+25</v>
      </c>
    </row>
    <row r="13" spans="1:16" x14ac:dyDescent="0.25">
      <c r="A13">
        <v>1992</v>
      </c>
      <c r="B13">
        <v>10118950750000</v>
      </c>
      <c r="C13">
        <v>1716491987999.9988</v>
      </c>
      <c r="D13">
        <v>0.16963142033278489</v>
      </c>
      <c r="E13">
        <v>256514000</v>
      </c>
      <c r="F13">
        <v>1186.6564071601149</v>
      </c>
      <c r="G13">
        <v>9423437078681.5742</v>
      </c>
      <c r="H13">
        <v>1413515561802.2361</v>
      </c>
      <c r="I13">
        <v>7054947000000</v>
      </c>
      <c r="J13">
        <v>10300000000000</v>
      </c>
      <c r="K13">
        <v>8710715000000</v>
      </c>
      <c r="L13">
        <v>8892925870080</v>
      </c>
      <c r="M13">
        <f t="shared" si="0"/>
        <v>3064003750000</v>
      </c>
      <c r="N13">
        <f t="shared" si="1"/>
        <v>9.3881189800140627E+24</v>
      </c>
      <c r="O13">
        <f t="shared" si="2"/>
        <v>6753102515758.8867</v>
      </c>
      <c r="P13">
        <f t="shared" si="3"/>
        <v>4.5604393588349005E+25</v>
      </c>
    </row>
    <row r="14" spans="1:16" x14ac:dyDescent="0.25">
      <c r="A14">
        <v>1993</v>
      </c>
      <c r="B14">
        <v>10397403618000</v>
      </c>
      <c r="C14">
        <v>1803948042999.999</v>
      </c>
      <c r="D14">
        <v>0.17349985720252328</v>
      </c>
      <c r="E14">
        <v>259919000</v>
      </c>
      <c r="F14">
        <v>1192.3931098262317</v>
      </c>
      <c r="G14">
        <v>9813869559879.3398</v>
      </c>
      <c r="H14">
        <v>1472080433981.9004</v>
      </c>
      <c r="I14">
        <v>7328925500000</v>
      </c>
      <c r="J14">
        <v>10700000000000</v>
      </c>
      <c r="K14">
        <v>9048994000000</v>
      </c>
      <c r="L14">
        <v>9115557429248</v>
      </c>
      <c r="M14">
        <f t="shared" si="0"/>
        <v>3068478118000</v>
      </c>
      <c r="N14">
        <f t="shared" si="1"/>
        <v>9.415557960644822E+24</v>
      </c>
      <c r="O14">
        <f t="shared" si="2"/>
        <v>6479124015758.8867</v>
      </c>
      <c r="P14">
        <f t="shared" si="3"/>
        <v>4.1979048011583559E+25</v>
      </c>
    </row>
    <row r="15" spans="1:16" x14ac:dyDescent="0.25">
      <c r="A15">
        <v>1994</v>
      </c>
      <c r="B15">
        <v>10816317373000</v>
      </c>
      <c r="C15">
        <v>1914075591999.999</v>
      </c>
      <c r="D15">
        <v>0.17696185549972573</v>
      </c>
      <c r="E15">
        <v>263126000</v>
      </c>
      <c r="F15">
        <v>1212.4006249414329</v>
      </c>
      <c r="G15">
        <v>10255864717897.434</v>
      </c>
      <c r="H15">
        <v>1538379707684.615</v>
      </c>
      <c r="I15">
        <v>7739894000000</v>
      </c>
      <c r="J15">
        <v>11300000000000</v>
      </c>
      <c r="K15">
        <v>9556414000000</v>
      </c>
      <c r="L15">
        <v>9343761121280</v>
      </c>
      <c r="M15">
        <f t="shared" si="0"/>
        <v>3076423373000</v>
      </c>
      <c r="N15">
        <f t="shared" si="1"/>
        <v>9.4643807699406972E+24</v>
      </c>
      <c r="O15">
        <f t="shared" si="2"/>
        <v>6068155515758.8867</v>
      </c>
      <c r="P15">
        <f t="shared" si="3"/>
        <v>3.6822511363435002E+25</v>
      </c>
    </row>
    <row r="16" spans="1:16" x14ac:dyDescent="0.25">
      <c r="A16">
        <v>1995</v>
      </c>
      <c r="B16">
        <v>11106673920999.998</v>
      </c>
      <c r="C16">
        <v>2012760550999.999</v>
      </c>
      <c r="D16">
        <v>0.18122081960057926</v>
      </c>
      <c r="E16">
        <v>266278000</v>
      </c>
      <c r="F16">
        <v>1216.6265149198496</v>
      </c>
      <c r="G16">
        <v>10730245561212.816</v>
      </c>
      <c r="H16">
        <v>1609536834181.9224</v>
      </c>
      <c r="I16">
        <v>8082367700000</v>
      </c>
      <c r="J16">
        <v>11800000000000</v>
      </c>
      <c r="K16">
        <v>9979265000000</v>
      </c>
      <c r="L16">
        <v>9577678503936</v>
      </c>
      <c r="M16">
        <f t="shared" si="0"/>
        <v>3024306220999.998</v>
      </c>
      <c r="N16">
        <f t="shared" si="1"/>
        <v>9.1464281183792888E+24</v>
      </c>
      <c r="O16">
        <f t="shared" si="2"/>
        <v>5725681815758.8867</v>
      </c>
      <c r="P16">
        <f t="shared" si="3"/>
        <v>3.2783432255311984E+25</v>
      </c>
    </row>
    <row r="17" spans="1:16" x14ac:dyDescent="0.25">
      <c r="A17">
        <v>1996</v>
      </c>
      <c r="B17">
        <v>11525703480999.998</v>
      </c>
      <c r="C17">
        <v>2166820951999.999</v>
      </c>
      <c r="D17">
        <v>0.18799901937196117</v>
      </c>
      <c r="E17">
        <v>269394000</v>
      </c>
      <c r="F17">
        <v>1231.806604021886</v>
      </c>
      <c r="G17">
        <v>11287529679030.895</v>
      </c>
      <c r="H17">
        <v>1693129451854.634</v>
      </c>
      <c r="I17">
        <v>8493334500000</v>
      </c>
      <c r="J17">
        <v>12400000000000</v>
      </c>
      <c r="K17">
        <v>10486684000000</v>
      </c>
      <c r="L17">
        <v>9817451134976</v>
      </c>
      <c r="M17">
        <f t="shared" si="0"/>
        <v>3032368980999.998</v>
      </c>
      <c r="N17">
        <f t="shared" si="1"/>
        <v>9.1952616369309663E+24</v>
      </c>
      <c r="O17">
        <f t="shared" si="2"/>
        <v>5314715015758.8867</v>
      </c>
      <c r="P17">
        <f t="shared" si="3"/>
        <v>2.8246195698732982E+25</v>
      </c>
    </row>
    <row r="18" spans="1:16" x14ac:dyDescent="0.25">
      <c r="A18">
        <v>1997</v>
      </c>
      <c r="B18">
        <v>12038266260999.998</v>
      </c>
      <c r="C18">
        <v>2322423443999.999</v>
      </c>
      <c r="D18">
        <v>0.19292009278145666</v>
      </c>
      <c r="E18">
        <v>272657000</v>
      </c>
      <c r="F18">
        <v>1253.427847000858</v>
      </c>
      <c r="G18">
        <v>11916823671176.258</v>
      </c>
      <c r="H18">
        <v>1787523550676.4387</v>
      </c>
      <c r="I18">
        <v>8972798000000</v>
      </c>
      <c r="J18">
        <v>13100000000000</v>
      </c>
      <c r="K18">
        <v>11078676000000</v>
      </c>
      <c r="L18">
        <v>10063226863616</v>
      </c>
      <c r="M18">
        <f t="shared" si="0"/>
        <v>3065468260999.998</v>
      </c>
      <c r="N18">
        <f t="shared" si="1"/>
        <v>9.3970956591983526E+24</v>
      </c>
      <c r="O18">
        <f t="shared" si="2"/>
        <v>4835251515758.8867</v>
      </c>
      <c r="P18">
        <f t="shared" si="3"/>
        <v>2.3379657220648612E+25</v>
      </c>
    </row>
    <row r="19" spans="1:16" x14ac:dyDescent="0.25">
      <c r="A19">
        <v>1998</v>
      </c>
      <c r="B19">
        <v>12577957789999.998</v>
      </c>
      <c r="C19">
        <v>2538263986999.999</v>
      </c>
      <c r="D19">
        <v>0.20180255247938778</v>
      </c>
      <c r="E19">
        <v>275854000</v>
      </c>
      <c r="F19">
        <v>1273.2868058464651</v>
      </c>
      <c r="G19">
        <v>12667564107499.816</v>
      </c>
      <c r="H19">
        <v>1900134616124.9724</v>
      </c>
      <c r="I19">
        <v>9452259000000</v>
      </c>
      <c r="J19">
        <v>13800000000000</v>
      </c>
      <c r="K19">
        <v>11670666000000</v>
      </c>
      <c r="L19">
        <v>10315155636224</v>
      </c>
      <c r="M19">
        <f t="shared" si="0"/>
        <v>3125698789999.998</v>
      </c>
      <c r="N19">
        <f t="shared" si="1"/>
        <v>9.769992925807452E+24</v>
      </c>
      <c r="O19">
        <f t="shared" si="2"/>
        <v>4355790515758.8867</v>
      </c>
      <c r="P19">
        <f t="shared" si="3"/>
        <v>1.8972911017175068E+25</v>
      </c>
    </row>
    <row r="20" spans="1:16" x14ac:dyDescent="0.25">
      <c r="A20">
        <v>1999</v>
      </c>
      <c r="B20">
        <v>13180243871999.998</v>
      </c>
      <c r="C20">
        <v>2749560973999.999</v>
      </c>
      <c r="D20">
        <v>0.20861229888478344</v>
      </c>
      <c r="E20">
        <v>279040000</v>
      </c>
      <c r="F20">
        <v>1295.7437857819773</v>
      </c>
      <c r="G20">
        <v>13516990465374.844</v>
      </c>
      <c r="H20">
        <v>2027548569806.2266</v>
      </c>
      <c r="I20">
        <v>10068712000000</v>
      </c>
      <c r="J20">
        <v>14700000000000</v>
      </c>
      <c r="K20">
        <v>12431796000000</v>
      </c>
      <c r="L20">
        <v>10573391593472</v>
      </c>
      <c r="M20">
        <f t="shared" si="0"/>
        <v>3111531871999.998</v>
      </c>
      <c r="N20">
        <f t="shared" si="1"/>
        <v>9.6816305904718126E+24</v>
      </c>
      <c r="O20">
        <f t="shared" si="2"/>
        <v>3739337515758.8867</v>
      </c>
      <c r="P20">
        <f t="shared" si="3"/>
        <v>1.3982645056761842E+25</v>
      </c>
    </row>
    <row r="21" spans="1:16" x14ac:dyDescent="0.25">
      <c r="A21">
        <v>2000</v>
      </c>
      <c r="B21">
        <v>13717679618999.996</v>
      </c>
      <c r="C21">
        <v>2925464708999.999</v>
      </c>
      <c r="D21">
        <v>0.21326235852221065</v>
      </c>
      <c r="E21">
        <v>282162411</v>
      </c>
      <c r="F21">
        <v>1310.2191402745827</v>
      </c>
      <c r="G21">
        <v>14414906604568.617</v>
      </c>
      <c r="H21">
        <v>2162235990685.2925</v>
      </c>
      <c r="I21">
        <v>10753659000000</v>
      </c>
      <c r="J21">
        <v>15700000000000</v>
      </c>
      <c r="K21">
        <v>13277497000000</v>
      </c>
      <c r="L21">
        <v>10838090973184</v>
      </c>
      <c r="M21">
        <f t="shared" si="0"/>
        <v>2964020618999.9961</v>
      </c>
      <c r="N21">
        <f t="shared" si="1"/>
        <v>8.7854182298571202E+24</v>
      </c>
      <c r="O21">
        <f t="shared" si="2"/>
        <v>3054390515758.8867</v>
      </c>
      <c r="P21">
        <f t="shared" si="3"/>
        <v>9.3293014227578375E+24</v>
      </c>
    </row>
    <row r="22" spans="1:16" x14ac:dyDescent="0.25">
      <c r="A22">
        <v>2001</v>
      </c>
      <c r="B22">
        <v>13848757307999.998</v>
      </c>
      <c r="C22">
        <v>2913086622999.999</v>
      </c>
      <c r="D22">
        <v>0.21035003778405439</v>
      </c>
      <c r="E22">
        <v>284968955</v>
      </c>
      <c r="F22">
        <v>1291.9857930103676</v>
      </c>
      <c r="G22">
        <v>15165757236883.324</v>
      </c>
      <c r="H22">
        <v>2274863585532.4985</v>
      </c>
      <c r="I22">
        <v>11438603000000</v>
      </c>
      <c r="J22">
        <v>16700000000000</v>
      </c>
      <c r="K22">
        <v>14123199000000</v>
      </c>
      <c r="L22">
        <v>11109417353216</v>
      </c>
      <c r="M22">
        <f t="shared" si="0"/>
        <v>2410154307999.998</v>
      </c>
      <c r="N22">
        <f t="shared" si="1"/>
        <v>5.808843788370949E+24</v>
      </c>
      <c r="O22">
        <f t="shared" si="2"/>
        <v>2369446515758.8867</v>
      </c>
      <c r="P22">
        <f t="shared" si="3"/>
        <v>5.6142767910419277E+24</v>
      </c>
    </row>
    <row r="23" spans="1:16" x14ac:dyDescent="0.25">
      <c r="A23">
        <v>2002</v>
      </c>
      <c r="B23">
        <v>14084248130999.998</v>
      </c>
      <c r="C23">
        <v>2863689490999.999</v>
      </c>
      <c r="D23">
        <v>0.20332569153598642</v>
      </c>
      <c r="E23">
        <v>287625193</v>
      </c>
      <c r="F23">
        <v>1289.3774785371227</v>
      </c>
      <c r="G23">
        <v>15754583142350.824</v>
      </c>
      <c r="H23">
        <v>2363187471352.6235</v>
      </c>
      <c r="I23">
        <v>12055055000000</v>
      </c>
      <c r="J23">
        <v>17600000000000</v>
      </c>
      <c r="K23">
        <v>14884328000000</v>
      </c>
      <c r="L23">
        <v>11387537457152</v>
      </c>
      <c r="M23">
        <f t="shared" si="0"/>
        <v>2029193130999.998</v>
      </c>
      <c r="N23">
        <f t="shared" si="1"/>
        <v>4.1176247628975752E+24</v>
      </c>
      <c r="O23">
        <f t="shared" si="2"/>
        <v>1752994515758.8867</v>
      </c>
      <c r="P23">
        <f t="shared" si="3"/>
        <v>3.0729897722807338E+24</v>
      </c>
    </row>
    <row r="24" spans="1:16" x14ac:dyDescent="0.25">
      <c r="A24">
        <v>2003</v>
      </c>
      <c r="B24">
        <v>14477988211999.998</v>
      </c>
      <c r="C24">
        <v>2985022309999.999</v>
      </c>
      <c r="D24">
        <v>0.20617659486183862</v>
      </c>
      <c r="E24">
        <v>290107933</v>
      </c>
      <c r="F24">
        <v>1300.954708804763</v>
      </c>
      <c r="G24">
        <v>16376417980998.199</v>
      </c>
      <c r="H24">
        <v>2456462697149.73</v>
      </c>
      <c r="I24">
        <v>12603013000000</v>
      </c>
      <c r="J24">
        <v>18400000000000</v>
      </c>
      <c r="K24">
        <v>15560887000000</v>
      </c>
      <c r="L24">
        <v>11672619057152</v>
      </c>
      <c r="M24">
        <f t="shared" si="0"/>
        <v>1874975211999.998</v>
      </c>
      <c r="N24">
        <f t="shared" si="1"/>
        <v>3.5155320456144377E+24</v>
      </c>
      <c r="O24">
        <f t="shared" si="2"/>
        <v>1205036515758.8867</v>
      </c>
      <c r="P24">
        <f t="shared" si="3"/>
        <v>1.4521130043123175E+24</v>
      </c>
    </row>
    <row r="25" spans="1:16" x14ac:dyDescent="0.25">
      <c r="A25">
        <v>2004</v>
      </c>
      <c r="B25">
        <v>15035068143999.998</v>
      </c>
      <c r="C25">
        <v>3163909784999.999</v>
      </c>
      <c r="D25">
        <v>0.21043534719612239</v>
      </c>
      <c r="E25">
        <v>292805298</v>
      </c>
      <c r="F25">
        <v>1323.9067696665429</v>
      </c>
      <c r="G25">
        <v>17083865068848.469</v>
      </c>
      <c r="H25">
        <v>2562579760327.27</v>
      </c>
      <c r="I25">
        <v>13150969000000</v>
      </c>
      <c r="J25">
        <v>19200000000000</v>
      </c>
      <c r="K25">
        <v>16237447000000</v>
      </c>
      <c r="L25">
        <v>11964837265408</v>
      </c>
      <c r="M25">
        <f t="shared" si="0"/>
        <v>1884099143999.998</v>
      </c>
      <c r="N25">
        <f t="shared" si="1"/>
        <v>3.5498295844215252E+24</v>
      </c>
      <c r="O25">
        <f t="shared" si="2"/>
        <v>657080515758.88672</v>
      </c>
      <c r="P25">
        <f t="shared" si="3"/>
        <v>4.317548041899646E+23</v>
      </c>
    </row>
    <row r="26" spans="1:16" x14ac:dyDescent="0.25">
      <c r="A26">
        <v>2005</v>
      </c>
      <c r="B26">
        <v>15558822250999.998</v>
      </c>
      <c r="C26">
        <v>3355622413999.999</v>
      </c>
      <c r="D26">
        <v>0.21567329196683419</v>
      </c>
      <c r="E26">
        <v>295516599</v>
      </c>
      <c r="F26">
        <v>1341.1931701996891</v>
      </c>
      <c r="G26">
        <v>17876907722521.199</v>
      </c>
      <c r="H26">
        <v>2681536158378.1797</v>
      </c>
      <c r="I26">
        <v>13698926000000</v>
      </c>
      <c r="J26">
        <v>20000000000000</v>
      </c>
      <c r="K26">
        <v>16914009000000</v>
      </c>
      <c r="L26">
        <v>12264372436992</v>
      </c>
      <c r="M26">
        <f t="shared" si="0"/>
        <v>1859896250999.998</v>
      </c>
      <c r="N26">
        <f t="shared" si="1"/>
        <v>3.4592140644838477E+24</v>
      </c>
      <c r="O26">
        <f t="shared" si="2"/>
        <v>109123515758.88672</v>
      </c>
      <c r="P26">
        <f t="shared" si="3"/>
        <v>1.1907941691579997E+22</v>
      </c>
    </row>
    <row r="27" spans="1:16" x14ac:dyDescent="0.25">
      <c r="A27">
        <v>2006</v>
      </c>
      <c r="B27">
        <v>15992063823999.998</v>
      </c>
      <c r="C27">
        <v>3445363047999.9995</v>
      </c>
      <c r="D27">
        <v>0.21544205212771791</v>
      </c>
      <c r="E27">
        <v>298379912</v>
      </c>
      <c r="F27">
        <v>1350.7359294239563</v>
      </c>
      <c r="G27">
        <v>18640734612143.02</v>
      </c>
      <c r="H27">
        <v>2796110191821.4526</v>
      </c>
      <c r="I27">
        <v>14383873000000</v>
      </c>
      <c r="J27">
        <v>21000000000000</v>
      </c>
      <c r="K27">
        <v>17759707000000</v>
      </c>
      <c r="L27">
        <v>12571404926976</v>
      </c>
      <c r="M27">
        <f t="shared" si="0"/>
        <v>1608190823999.998</v>
      </c>
      <c r="N27">
        <f t="shared" si="1"/>
        <v>2.5862777263977928E+24</v>
      </c>
      <c r="O27">
        <f t="shared" si="2"/>
        <v>-575823484241.11328</v>
      </c>
      <c r="P27">
        <f t="shared" si="3"/>
        <v>3.3157268500357564E+23</v>
      </c>
    </row>
    <row r="28" spans="1:16" x14ac:dyDescent="0.25">
      <c r="A28">
        <v>2007</v>
      </c>
      <c r="B28">
        <v>16312522121999.998</v>
      </c>
      <c r="C28">
        <v>3425417292999.9995</v>
      </c>
      <c r="D28">
        <v>0.2099869822325198</v>
      </c>
      <c r="E28">
        <v>301231207</v>
      </c>
      <c r="F28">
        <v>1354.025741210017</v>
      </c>
      <c r="G28">
        <v>19270041713321.566</v>
      </c>
      <c r="H28">
        <v>2890506256998.2349</v>
      </c>
      <c r="I28">
        <v>15000324000000</v>
      </c>
      <c r="J28">
        <v>21900000000000</v>
      </c>
      <c r="K28">
        <v>18520840000000</v>
      </c>
      <c r="L28">
        <v>12886123479040</v>
      </c>
      <c r="M28">
        <f t="shared" si="0"/>
        <v>1312198121999.998</v>
      </c>
      <c r="N28">
        <f t="shared" si="1"/>
        <v>1.7218639113803219E+24</v>
      </c>
      <c r="O28">
        <f t="shared" si="2"/>
        <v>-1192274484241.1133</v>
      </c>
      <c r="P28">
        <f t="shared" si="3"/>
        <v>1.4215184457724126E+24</v>
      </c>
    </row>
    <row r="29" spans="1:16" x14ac:dyDescent="0.25">
      <c r="A29">
        <v>2008</v>
      </c>
      <c r="B29">
        <v>16331051066999.998</v>
      </c>
      <c r="C29">
        <v>3281354879999.9995</v>
      </c>
      <c r="D29">
        <v>0.20092735406544668</v>
      </c>
      <c r="E29">
        <v>304093966</v>
      </c>
      <c r="F29">
        <v>1338.0567752581439</v>
      </c>
      <c r="G29">
        <v>19660890336323.332</v>
      </c>
      <c r="H29">
        <v>2949133550448.4995</v>
      </c>
      <c r="I29">
        <v>15548283000000</v>
      </c>
      <c r="J29">
        <v>22700000000000</v>
      </c>
      <c r="K29">
        <v>19197399000000</v>
      </c>
      <c r="L29">
        <v>13208725225472</v>
      </c>
      <c r="M29">
        <f t="shared" si="0"/>
        <v>782768066999.99805</v>
      </c>
      <c r="N29">
        <f t="shared" si="1"/>
        <v>6.1272584671491347E+23</v>
      </c>
      <c r="O29">
        <f t="shared" si="2"/>
        <v>-1740233484241.1133</v>
      </c>
      <c r="P29">
        <f t="shared" si="3"/>
        <v>3.028412579673965E+24</v>
      </c>
    </row>
    <row r="30" spans="1:16" x14ac:dyDescent="0.25">
      <c r="A30">
        <v>2009</v>
      </c>
      <c r="B30">
        <v>15910281497999.998</v>
      </c>
      <c r="C30">
        <v>2870462480999.9995</v>
      </c>
      <c r="D30">
        <v>0.18041556847129517</v>
      </c>
      <c r="E30">
        <v>306771529</v>
      </c>
      <c r="F30">
        <v>1297.7185917848635</v>
      </c>
      <c r="G30">
        <v>19582219266874.832</v>
      </c>
      <c r="H30">
        <v>2937332890031.2246</v>
      </c>
      <c r="I30">
        <v>15959249000000</v>
      </c>
      <c r="J30">
        <v>23300000000000</v>
      </c>
      <c r="K30">
        <v>19704823000000</v>
      </c>
      <c r="L30">
        <v>13539398909952</v>
      </c>
      <c r="M30">
        <f t="shared" si="0"/>
        <v>-48967502000.001953</v>
      </c>
      <c r="N30">
        <f t="shared" si="1"/>
        <v>2.3978162521201951E+21</v>
      </c>
      <c r="O30">
        <f t="shared" si="2"/>
        <v>-2151199484241.1133</v>
      </c>
      <c r="P30">
        <f t="shared" si="3"/>
        <v>4.6276592209992315E+24</v>
      </c>
    </row>
    <row r="31" spans="1:16" x14ac:dyDescent="0.25">
      <c r="A31">
        <v>2010</v>
      </c>
      <c r="B31">
        <v>16339094224999.998</v>
      </c>
      <c r="C31">
        <v>2935253933999.999</v>
      </c>
      <c r="D31">
        <v>0.17964606198970612</v>
      </c>
      <c r="E31">
        <v>309327143</v>
      </c>
      <c r="F31">
        <v>1325.3910202061677</v>
      </c>
      <c r="G31">
        <v>19580140310843.605</v>
      </c>
      <c r="H31">
        <v>2937021046626.5405</v>
      </c>
      <c r="I31">
        <v>15959249000000</v>
      </c>
      <c r="J31">
        <v>23300000000000</v>
      </c>
      <c r="K31">
        <v>19704823000000</v>
      </c>
      <c r="L31">
        <v>13878352150528</v>
      </c>
      <c r="M31">
        <f t="shared" si="0"/>
        <v>379845224999.99805</v>
      </c>
      <c r="N31">
        <f t="shared" si="1"/>
        <v>1.4428239495529915E+23</v>
      </c>
      <c r="O31">
        <f t="shared" si="2"/>
        <v>-2151199484241.1133</v>
      </c>
      <c r="P31">
        <f t="shared" si="3"/>
        <v>4.6276592209992315E+24</v>
      </c>
    </row>
    <row r="32" spans="1:16" x14ac:dyDescent="0.25">
      <c r="A32">
        <v>2011</v>
      </c>
      <c r="B32">
        <v>16594704134999.998</v>
      </c>
      <c r="C32">
        <v>3071066258999.999</v>
      </c>
      <c r="D32">
        <v>0.18506303179716191</v>
      </c>
      <c r="E32">
        <v>311583481</v>
      </c>
      <c r="F32">
        <v>1336.5758736476128</v>
      </c>
      <c r="G32">
        <v>19714185523217.063</v>
      </c>
      <c r="H32">
        <v>2957127828482.5591</v>
      </c>
      <c r="I32">
        <v>16096239000000</v>
      </c>
      <c r="J32">
        <v>23500000000000</v>
      </c>
      <c r="K32">
        <v>19873960000000</v>
      </c>
      <c r="L32">
        <v>14225789419520</v>
      </c>
      <c r="M32">
        <f t="shared" si="0"/>
        <v>498465134999.99805</v>
      </c>
      <c r="N32">
        <f t="shared" si="1"/>
        <v>2.4846749081056629E+23</v>
      </c>
      <c r="O32">
        <f t="shared" si="2"/>
        <v>-2288189484241.1133</v>
      </c>
      <c r="P32">
        <f t="shared" si="3"/>
        <v>5.2358111157916116E+24</v>
      </c>
    </row>
    <row r="33" spans="1:16" x14ac:dyDescent="0.25">
      <c r="A33">
        <v>2012</v>
      </c>
      <c r="B33">
        <v>16974575728999.998</v>
      </c>
      <c r="C33">
        <v>3283305634999.9995</v>
      </c>
      <c r="D33">
        <v>0.19342490130051837</v>
      </c>
      <c r="E33">
        <v>313877662</v>
      </c>
      <c r="F33">
        <v>1353.0799492670308</v>
      </c>
      <c r="G33">
        <v>20040363329734.504</v>
      </c>
      <c r="H33">
        <v>3006054499460.1753</v>
      </c>
      <c r="I33">
        <v>16233229000000</v>
      </c>
      <c r="J33">
        <v>23700000000000</v>
      </c>
      <c r="K33">
        <v>20043100000000</v>
      </c>
      <c r="L33">
        <v>14581926723584</v>
      </c>
      <c r="M33">
        <f t="shared" si="0"/>
        <v>741346728999.99805</v>
      </c>
      <c r="N33">
        <f t="shared" si="1"/>
        <v>5.4959497259899653E+23</v>
      </c>
      <c r="O33">
        <f t="shared" si="2"/>
        <v>-2425179484241.1133</v>
      </c>
      <c r="P33">
        <f t="shared" si="3"/>
        <v>5.8814955307839922E+24</v>
      </c>
    </row>
    <row r="34" spans="1:16" x14ac:dyDescent="0.25">
      <c r="A34">
        <v>2013</v>
      </c>
      <c r="B34">
        <v>17334068403000</v>
      </c>
      <c r="C34">
        <v>3417211518000</v>
      </c>
      <c r="D34">
        <v>0.19713845812495956</v>
      </c>
      <c r="E34">
        <v>316059947</v>
      </c>
      <c r="F34">
        <v>1366.0890110993505</v>
      </c>
      <c r="G34">
        <v>20451520348274.328</v>
      </c>
      <c r="H34">
        <v>3067728052241.1489</v>
      </c>
      <c r="I34">
        <v>16575702000000</v>
      </c>
      <c r="J34">
        <v>24200000000000</v>
      </c>
      <c r="K34">
        <v>20465951000000</v>
      </c>
      <c r="L34">
        <v>14946977972224</v>
      </c>
      <c r="M34">
        <f t="shared" si="0"/>
        <v>758366403000</v>
      </c>
      <c r="N34">
        <f t="shared" si="1"/>
        <v>5.7511960119915839E+23</v>
      </c>
      <c r="O34">
        <f t="shared" si="2"/>
        <v>-2767652484241.1133</v>
      </c>
      <c r="P34">
        <f t="shared" si="3"/>
        <v>7.659900273526006E+24</v>
      </c>
    </row>
    <row r="35" spans="1:16" x14ac:dyDescent="0.25">
      <c r="A35">
        <v>2014</v>
      </c>
      <c r="B35">
        <v>17771549056000</v>
      </c>
      <c r="C35">
        <v>3618540059000</v>
      </c>
      <c r="D35">
        <v>0.20361421773631572</v>
      </c>
      <c r="E35">
        <v>318386329</v>
      </c>
      <c r="F35">
        <v>1381.4436297291859</v>
      </c>
      <c r="G35">
        <v>21002332355033.18</v>
      </c>
      <c r="H35">
        <v>3150349853254.9771</v>
      </c>
      <c r="I35">
        <v>16918174000000</v>
      </c>
      <c r="J35">
        <v>24700000000000</v>
      </c>
      <c r="K35">
        <v>20888804000000</v>
      </c>
      <c r="L35">
        <v>15321170706432</v>
      </c>
      <c r="M35">
        <f t="shared" si="0"/>
        <v>853375056000</v>
      </c>
      <c r="N35">
        <f t="shared" si="1"/>
        <v>7.2824898620300317E+23</v>
      </c>
      <c r="O35">
        <f t="shared" si="2"/>
        <v>-3110124484241.1133</v>
      </c>
      <c r="P35">
        <f t="shared" si="3"/>
        <v>9.6728743074760514E+24</v>
      </c>
    </row>
    <row r="36" spans="1:16" x14ac:dyDescent="0.25">
      <c r="A36">
        <v>2015</v>
      </c>
      <c r="B36">
        <v>18295019000000</v>
      </c>
      <c r="C36">
        <v>3777790000000</v>
      </c>
      <c r="D36">
        <v>0.20649281643271319</v>
      </c>
      <c r="E36">
        <v>320738994</v>
      </c>
      <c r="F36">
        <v>1401.3535106276529</v>
      </c>
      <c r="G36">
        <v>21629772501778.203</v>
      </c>
      <c r="H36">
        <v>3244465875266.7305</v>
      </c>
      <c r="I36">
        <v>17329143000000</v>
      </c>
      <c r="J36">
        <v>25300000000000</v>
      </c>
      <c r="K36">
        <v>21396220000000</v>
      </c>
      <c r="L36">
        <v>15704729321472</v>
      </c>
      <c r="M36">
        <f t="shared" si="0"/>
        <v>965876000000</v>
      </c>
      <c r="N36">
        <f t="shared" si="1"/>
        <v>9.3291644737599998E+23</v>
      </c>
      <c r="O36">
        <f t="shared" si="2"/>
        <v>-3521093484241.1133</v>
      </c>
      <c r="P36">
        <f t="shared" si="3"/>
        <v>1.2398099324765224E+25</v>
      </c>
    </row>
    <row r="37" spans="1:16" x14ac:dyDescent="0.25">
      <c r="A37">
        <v>2016</v>
      </c>
      <c r="B37">
        <v>18627887993000</v>
      </c>
      <c r="C37">
        <v>3792096083462.4102</v>
      </c>
      <c r="D37">
        <v>0.2035709085693132</v>
      </c>
      <c r="E37">
        <v>323071755</v>
      </c>
      <c r="F37">
        <v>1408.1882938975789</v>
      </c>
      <c r="G37">
        <v>22177402709973.883</v>
      </c>
      <c r="H37">
        <v>3326610406496.0825</v>
      </c>
      <c r="I37">
        <v>17877100000000</v>
      </c>
      <c r="J37">
        <v>26100000000000</v>
      </c>
      <c r="K37">
        <v>22072780000000</v>
      </c>
      <c r="L37">
        <v>16097890795520</v>
      </c>
      <c r="M37">
        <f t="shared" si="0"/>
        <v>750787993000</v>
      </c>
      <c r="N37">
        <f t="shared" si="1"/>
        <v>5.6368261043296808E+23</v>
      </c>
      <c r="O37">
        <f t="shared" si="2"/>
        <v>-4069050484241.1133</v>
      </c>
      <c r="P37">
        <f t="shared" si="3"/>
        <v>1.6557171843302839E+25</v>
      </c>
    </row>
    <row r="38" spans="1:16" x14ac:dyDescent="0.25">
      <c r="A38">
        <v>2017</v>
      </c>
      <c r="B38">
        <v>19085691122935.199</v>
      </c>
      <c r="C38">
        <v>3952143427600.1104</v>
      </c>
      <c r="D38">
        <v>0.2070736344910683</v>
      </c>
      <c r="E38">
        <v>325122128</v>
      </c>
      <c r="F38">
        <v>1423.4644237834721</v>
      </c>
      <c r="G38">
        <v>22802935731077.91</v>
      </c>
      <c r="H38">
        <v>3420440359661.6865</v>
      </c>
      <c r="I38">
        <v>18288067000000</v>
      </c>
      <c r="J38">
        <v>26700000000000</v>
      </c>
      <c r="K38">
        <v>22580201000000</v>
      </c>
      <c r="L38">
        <v>16500892106752</v>
      </c>
      <c r="M38">
        <f t="shared" si="0"/>
        <v>797624122935.19922</v>
      </c>
      <c r="N38">
        <f t="shared" si="1"/>
        <v>6.3620424148814585E+23</v>
      </c>
      <c r="O38">
        <f t="shared" si="2"/>
        <v>-4480017484241.1133</v>
      </c>
      <c r="P38">
        <f t="shared" si="3"/>
        <v>2.0070556659106072E+25</v>
      </c>
    </row>
    <row r="39" spans="1:16" x14ac:dyDescent="0.25">
      <c r="A39">
        <v>2018</v>
      </c>
      <c r="B39">
        <v>19651869117582.5</v>
      </c>
      <c r="C39">
        <v>4171824059917.0605</v>
      </c>
      <c r="D39">
        <v>0.2122863751511827</v>
      </c>
      <c r="E39">
        <v>326838199</v>
      </c>
      <c r="F39">
        <v>1444.8579007839428</v>
      </c>
      <c r="G39">
        <v>23554319431333.281</v>
      </c>
      <c r="H39">
        <v>3533147914699.9922</v>
      </c>
      <c r="I39">
        <v>18836024000000</v>
      </c>
      <c r="J39">
        <v>27500000000000</v>
      </c>
      <c r="K39">
        <v>23256761000000</v>
      </c>
      <c r="L39">
        <v>16913984913408</v>
      </c>
      <c r="M39">
        <f t="shared" si="0"/>
        <v>815845117582.5</v>
      </c>
      <c r="N39">
        <f t="shared" si="1"/>
        <v>6.6560325588320325E+23</v>
      </c>
      <c r="O39">
        <f t="shared" si="2"/>
        <v>-5027974484241.1133</v>
      </c>
      <c r="P39">
        <f t="shared" si="3"/>
        <v>2.5280527414179687E+25</v>
      </c>
    </row>
    <row r="40" spans="1:16" x14ac:dyDescent="0.25">
      <c r="A40">
        <v>2019</v>
      </c>
      <c r="B40">
        <v>20159639089698.098</v>
      </c>
      <c r="C40">
        <v>4308413389711.0195</v>
      </c>
      <c r="D40">
        <v>0.21371480761839079</v>
      </c>
      <c r="E40">
        <v>328329953</v>
      </c>
      <c r="F40">
        <v>1461.8321757025026</v>
      </c>
      <c r="G40">
        <v>24329584906344.309</v>
      </c>
      <c r="H40">
        <v>3649437735951.646</v>
      </c>
      <c r="I40">
        <v>19452475000000</v>
      </c>
      <c r="J40">
        <v>28400000000000</v>
      </c>
      <c r="K40">
        <v>24017891000000</v>
      </c>
      <c r="L40">
        <v>17337418776576</v>
      </c>
      <c r="M40">
        <f t="shared" si="0"/>
        <v>707164089698.09766</v>
      </c>
      <c r="N40">
        <f t="shared" si="1"/>
        <v>5.0008104975853912E+23</v>
      </c>
      <c r="O40">
        <f t="shared" si="2"/>
        <v>-5644425484241.1133</v>
      </c>
      <c r="P40">
        <f t="shared" si="3"/>
        <v>3.1859539047150525E+25</v>
      </c>
    </row>
    <row r="41" spans="1:16" x14ac:dyDescent="0.25">
      <c r="A41">
        <v>2020</v>
      </c>
      <c r="B41">
        <v>19723580221938.199</v>
      </c>
      <c r="C41">
        <v>4178476545894.9199</v>
      </c>
      <c r="D41">
        <v>0.21185182907346975</v>
      </c>
      <c r="E41">
        <v>331526933</v>
      </c>
      <c r="F41">
        <v>1410.8500137025012</v>
      </c>
      <c r="G41">
        <v>24858623716287.586</v>
      </c>
      <c r="H41">
        <v>3728793557443.1377</v>
      </c>
      <c r="I41">
        <v>20068927000000</v>
      </c>
      <c r="J41">
        <v>29300000000000</v>
      </c>
      <c r="K41">
        <v>24779023000000</v>
      </c>
      <c r="L41">
        <v>17771452694528</v>
      </c>
      <c r="M41">
        <f t="shared" si="0"/>
        <v>-345346778061.80078</v>
      </c>
      <c r="N41">
        <f t="shared" si="1"/>
        <v>1.1926439711766668E+23</v>
      </c>
      <c r="O41">
        <f t="shared" si="2"/>
        <v>-6260877484241.1133</v>
      </c>
      <c r="P41">
        <f t="shared" si="3"/>
        <v>3.9198586872677333E+25</v>
      </c>
    </row>
    <row r="42" spans="1:16" x14ac:dyDescent="0.25">
      <c r="A42">
        <v>2021</v>
      </c>
      <c r="B42">
        <v>20917853444668.301</v>
      </c>
      <c r="C42">
        <v>4459693626039.4199</v>
      </c>
      <c r="D42">
        <v>0.21320034762821899</v>
      </c>
      <c r="E42">
        <v>332048977</v>
      </c>
      <c r="F42">
        <v>1480.3404861304223</v>
      </c>
      <c r="G42">
        <v>25589523784883.867</v>
      </c>
      <c r="H42">
        <v>3838428567732.5801</v>
      </c>
      <c r="I42">
        <v>20479893000000</v>
      </c>
      <c r="J42">
        <v>29900000000000</v>
      </c>
      <c r="K42">
        <v>25286446000000</v>
      </c>
      <c r="L42">
        <v>18216355102720</v>
      </c>
      <c r="M42">
        <f t="shared" si="0"/>
        <v>437960444668.30078</v>
      </c>
      <c r="N42">
        <f t="shared" si="1"/>
        <v>1.9180935109405575E+23</v>
      </c>
      <c r="O42">
        <f t="shared" si="2"/>
        <v>-6671843484241.1133</v>
      </c>
      <c r="P42">
        <f t="shared" si="3"/>
        <v>4.4513495478210595E+25</v>
      </c>
    </row>
    <row r="43" spans="1:16" x14ac:dyDescent="0.25">
      <c r="A43">
        <v>2022</v>
      </c>
      <c r="B43">
        <v>21443388432051</v>
      </c>
      <c r="C43">
        <v>4675491736471.2305</v>
      </c>
      <c r="D43">
        <v>0.21803884919059094</v>
      </c>
      <c r="E43">
        <v>333271411</v>
      </c>
      <c r="F43">
        <v>1497.663849263887</v>
      </c>
      <c r="G43">
        <v>26426586953622.52</v>
      </c>
      <c r="H43">
        <v>3963988043043.3779</v>
      </c>
      <c r="I43">
        <v>21096347000000</v>
      </c>
      <c r="J43">
        <v>30800000000000</v>
      </c>
      <c r="K43">
        <v>26047570000000</v>
      </c>
      <c r="L43">
        <v>18672391290880</v>
      </c>
      <c r="M43">
        <f t="shared" si="0"/>
        <v>347041432051</v>
      </c>
      <c r="N43">
        <f t="shared" si="1"/>
        <v>1.2043775556000886E+23</v>
      </c>
      <c r="O43">
        <f t="shared" si="2"/>
        <v>-7288297484241.1133</v>
      </c>
      <c r="P43">
        <f t="shared" si="3"/>
        <v>5.3119280218795341E+25</v>
      </c>
    </row>
    <row r="44" spans="1:16" x14ac:dyDescent="0.25">
      <c r="B44">
        <f>AVERAGE(B2:B43)</f>
        <v>13808049515758.887</v>
      </c>
      <c r="N44">
        <f>SUM(N2:N43)</f>
        <v>3.5453471078797555E+26</v>
      </c>
      <c r="P44">
        <f>SUM(P2:P43)</f>
        <v>1.6486336791919406E+27</v>
      </c>
    </row>
    <row r="46" spans="1:16" x14ac:dyDescent="0.25">
      <c r="M46" t="s">
        <v>14</v>
      </c>
      <c r="N46">
        <f>1-(N44/P44)</f>
        <v>0.78495240315498904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</dc:creator>
  <cp:lastModifiedBy>Paolo Antonio David B. Mayo</cp:lastModifiedBy>
  <dcterms:created xsi:type="dcterms:W3CDTF">2015-06-05T18:17:20Z</dcterms:created>
  <dcterms:modified xsi:type="dcterms:W3CDTF">2025-01-10T09:37:53Z</dcterms:modified>
</cp:coreProperties>
</file>